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4.xml" ContentType="application/vnd.openxmlformats-officedocument.drawing+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drawings/drawing6.xml" ContentType="application/vnd.openxmlformats-officedocument.drawing+xml"/>
  <Override PartName="/xl/timelines/timeline3.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dmin\Desktop\Data Science &amp; Analysis Projects\Data Science &amp; analysis\Cohert 138\Assignments\Assignment No 5\"/>
    </mc:Choice>
  </mc:AlternateContent>
  <xr:revisionPtr revIDLastSave="0" documentId="13_ncr:1_{ECF32139-3231-432F-9282-FCCAECACD67C}" xr6:coauthVersionLast="47" xr6:coauthVersionMax="47" xr10:uidLastSave="{00000000-0000-0000-0000-000000000000}"/>
  <bookViews>
    <workbookView xWindow="-120" yWindow="-120" windowWidth="20730" windowHeight="11160" firstSheet="9" activeTab="11" xr2:uid="{00000000-000D-0000-FFFF-FFFF00000000}"/>
  </bookViews>
  <sheets>
    <sheet name="Raw-Sales Analysis Data" sheetId="1" r:id="rId1"/>
    <sheet name="Pivot Sales Chart Analysis" sheetId="7" r:id="rId2"/>
    <sheet name="Raw-HR Attrition Data" sheetId="2" r:id="rId3"/>
    <sheet name="Pivot HR Analysis" sheetId="9" r:id="rId4"/>
    <sheet name="Raw-Inventory Data" sheetId="3" r:id="rId5"/>
    <sheet name="Pivot Inventory Analysis" sheetId="12" r:id="rId6"/>
    <sheet name="Pivot Expense Tracking" sheetId="13" state="hidden" r:id="rId7"/>
    <sheet name="Raw-Expense Tracking Data" sheetId="4" r:id="rId8"/>
    <sheet name="Pivot Customer Order" sheetId="15" state="hidden" r:id="rId9"/>
    <sheet name="Pivot Expense Tracking Report" sheetId="16" r:id="rId10"/>
    <sheet name="Raw-Customer Orders Data" sheetId="5" r:id="rId11"/>
    <sheet name="Customer Analysis Report" sheetId="17" r:id="rId12"/>
  </sheets>
  <definedNames>
    <definedName name="_xlnm._FilterDatabase" localSheetId="8" hidden="1">'Pivot Customer Order'!$E$3:$F$8</definedName>
    <definedName name="_xlnm._FilterDatabase" localSheetId="0" hidden="1">'Raw-Sales Analysis Data'!$A$1:$H$31</definedName>
    <definedName name="NativeTimeline_Date">#N/A</definedName>
    <definedName name="NativeTimeline_Join_Date">#N/A</definedName>
    <definedName name="Slicer_Delivery_Status">#N/A</definedName>
    <definedName name="Slicer_Product">#N/A</definedName>
    <definedName name="Slicer_Product1">#N/A</definedName>
    <definedName name="Slicer_Region">#N/A</definedName>
    <definedName name="Slicer_Warehouse">#N/A</definedName>
  </definedNames>
  <calcPr calcId="191029"/>
  <pivotCaches>
    <pivotCache cacheId="99" r:id="rId13"/>
    <pivotCache cacheId="100" r:id="rId14"/>
    <pivotCache cacheId="101" r:id="rId15"/>
    <pivotCache cacheId="102" r:id="rId16"/>
    <pivotCache cacheId="103"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 r:id="rId2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3" l="1"/>
  <c r="J4" i="3"/>
  <c r="J5" i="3"/>
  <c r="J6" i="3"/>
  <c r="J7" i="3"/>
  <c r="J8" i="3"/>
  <c r="J9" i="3"/>
  <c r="J10" i="3"/>
  <c r="J11" i="3"/>
  <c r="J12" i="3"/>
  <c r="J13" i="3"/>
  <c r="J14" i="3"/>
  <c r="J15" i="3"/>
  <c r="J16" i="3"/>
  <c r="J17" i="3"/>
  <c r="J18" i="3"/>
  <c r="J19" i="3"/>
  <c r="J20" i="3"/>
  <c r="J21" i="3"/>
  <c r="J22" i="3"/>
  <c r="J23" i="3"/>
  <c r="J24" i="3"/>
  <c r="J25" i="3"/>
  <c r="J26" i="3"/>
  <c r="J27" i="3"/>
  <c r="J28" i="3"/>
  <c r="J29" i="3"/>
  <c r="J30" i="3"/>
  <c r="J31" i="3"/>
  <c r="J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2" i="3"/>
  <c r="P11" i="16"/>
</calcChain>
</file>

<file path=xl/sharedStrings.xml><?xml version="1.0" encoding="utf-8"?>
<sst xmlns="http://schemas.openxmlformats.org/spreadsheetml/2006/main" count="964" uniqueCount="238">
  <si>
    <t>Date</t>
  </si>
  <si>
    <t>Region</t>
  </si>
  <si>
    <t>Salesperson</t>
  </si>
  <si>
    <t>Product</t>
  </si>
  <si>
    <t>Units Sold</t>
  </si>
  <si>
    <t>Unit Price</t>
  </si>
  <si>
    <t>Revenue</t>
  </si>
  <si>
    <t>Profit</t>
  </si>
  <si>
    <t>West</t>
  </si>
  <si>
    <t>Bob</t>
  </si>
  <si>
    <t>Tablet</t>
  </si>
  <si>
    <t>Alice</t>
  </si>
  <si>
    <t>South</t>
  </si>
  <si>
    <t>Eva</t>
  </si>
  <si>
    <t>Phone</t>
  </si>
  <si>
    <t>North</t>
  </si>
  <si>
    <t>David</t>
  </si>
  <si>
    <t>Keyboard</t>
  </si>
  <si>
    <t>Laptop</t>
  </si>
  <si>
    <t>East</t>
  </si>
  <si>
    <t>Charlie</t>
  </si>
  <si>
    <t>Monitor</t>
  </si>
  <si>
    <t>Employee ID</t>
  </si>
  <si>
    <t>Department</t>
  </si>
  <si>
    <t>Gender</t>
  </si>
  <si>
    <t>Age</t>
  </si>
  <si>
    <t>Join Date</t>
  </si>
  <si>
    <t>Exit Date</t>
  </si>
  <si>
    <t>Status</t>
  </si>
  <si>
    <t>Salary</t>
  </si>
  <si>
    <t>E1000</t>
  </si>
  <si>
    <t>HR</t>
  </si>
  <si>
    <t>Female</t>
  </si>
  <si>
    <t>Resigned</t>
  </si>
  <si>
    <t>E1001</t>
  </si>
  <si>
    <t>IT</t>
  </si>
  <si>
    <t>E1002</t>
  </si>
  <si>
    <t>Male</t>
  </si>
  <si>
    <t>Active</t>
  </si>
  <si>
    <t>E1003</t>
  </si>
  <si>
    <t>E1004</t>
  </si>
  <si>
    <t>E1005</t>
  </si>
  <si>
    <t>E1006</t>
  </si>
  <si>
    <t>Finance</t>
  </si>
  <si>
    <t>E1007</t>
  </si>
  <si>
    <t>E1008</t>
  </si>
  <si>
    <t>Sales</t>
  </si>
  <si>
    <t>E1009</t>
  </si>
  <si>
    <t>E1010</t>
  </si>
  <si>
    <t>Support</t>
  </si>
  <si>
    <t>E1011</t>
  </si>
  <si>
    <t>E1012</t>
  </si>
  <si>
    <t>E1013</t>
  </si>
  <si>
    <t>E1014</t>
  </si>
  <si>
    <t>E1015</t>
  </si>
  <si>
    <t>E1016</t>
  </si>
  <si>
    <t>E1017</t>
  </si>
  <si>
    <t>E1018</t>
  </si>
  <si>
    <t>E1019</t>
  </si>
  <si>
    <t>E1020</t>
  </si>
  <si>
    <t>E1021</t>
  </si>
  <si>
    <t>E1022</t>
  </si>
  <si>
    <t>E1023</t>
  </si>
  <si>
    <t>E1024</t>
  </si>
  <si>
    <t>E1025</t>
  </si>
  <si>
    <t>E1026</t>
  </si>
  <si>
    <t>E1027</t>
  </si>
  <si>
    <t>E1028</t>
  </si>
  <si>
    <t>E1029</t>
  </si>
  <si>
    <t>Product ID</t>
  </si>
  <si>
    <t>Product Category</t>
  </si>
  <si>
    <t>Warehouse</t>
  </si>
  <si>
    <t>Opening Stock</t>
  </si>
  <si>
    <t>Quantity Sold</t>
  </si>
  <si>
    <t>Quantity Purchased</t>
  </si>
  <si>
    <t>Closing Stock</t>
  </si>
  <si>
    <t>P100</t>
  </si>
  <si>
    <t>Electronics</t>
  </si>
  <si>
    <t>W1</t>
  </si>
  <si>
    <t>P101</t>
  </si>
  <si>
    <t>Furniture</t>
  </si>
  <si>
    <t>W2</t>
  </si>
  <si>
    <t>P102</t>
  </si>
  <si>
    <t>P103</t>
  </si>
  <si>
    <t>W3</t>
  </si>
  <si>
    <t>P104</t>
  </si>
  <si>
    <t>Stationery</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</si>
  <si>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</si>
  <si>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</si>
  <si>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</si>
  <si>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</si>
  <si>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</si>
  <si>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</si>
  <si>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</si>
  <si>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</si>
  <si>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</si>
  <si>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</si>
  <si>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</si>
  <si>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</si>
  <si>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</si>
  <si>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</si>
  <si>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</si>
  <si>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</si>
  <si>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</si>
  <si>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</si>
  <si>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</si>
  <si>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</si>
  <si>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</si>
  <si>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</si>
  <si>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</si>
  <si>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</si>
  <si>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</si>
  <si>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Expense Category</t>
  </si>
  <si>
    <t>Expense Amount</t>
  </si>
  <si>
    <t>Budget</t>
  </si>
  <si>
    <t>Project Name</t>
  </si>
  <si>
    <t>Consulting</t>
  </si>
  <si>
    <t>Delta</t>
  </si>
  <si>
    <t>Admin</t>
  </si>
  <si>
    <t>Travel</t>
  </si>
  <si>
    <t>Alpha</t>
  </si>
  <si>
    <t>Operations</t>
  </si>
  <si>
    <t>Supplies</t>
  </si>
  <si>
    <t>Gamma</t>
  </si>
  <si>
    <t>Software</t>
  </si>
  <si>
    <t>Beta</t>
  </si>
  <si>
    <t>Marketing</t>
  </si>
  <si>
    <t>Order ID</t>
  </si>
  <si>
    <t>Customer Name</t>
  </si>
  <si>
    <t>Order Date</t>
  </si>
  <si>
    <t>Delivery Date</t>
  </si>
  <si>
    <t>Order Value</t>
  </si>
  <si>
    <t>Delivery Status</t>
  </si>
  <si>
    <t>Delivery Duration (Days)</t>
  </si>
  <si>
    <t>O1000</t>
  </si>
  <si>
    <t>Adani</t>
  </si>
  <si>
    <t>Switch</t>
  </si>
  <si>
    <t>On Time</t>
  </si>
  <si>
    <t>O1001</t>
  </si>
  <si>
    <t>Access Point</t>
  </si>
  <si>
    <t>O1002</t>
  </si>
  <si>
    <t>Tata</t>
  </si>
  <si>
    <t>O1003</t>
  </si>
  <si>
    <t>HUL</t>
  </si>
  <si>
    <t>Router</t>
  </si>
  <si>
    <t>O1004</t>
  </si>
  <si>
    <t>Delayed</t>
  </si>
  <si>
    <t>O1005</t>
  </si>
  <si>
    <t>Reliance</t>
  </si>
  <si>
    <t>Modem</t>
  </si>
  <si>
    <t>O1006</t>
  </si>
  <si>
    <t>O1007</t>
  </si>
  <si>
    <t>O1008</t>
  </si>
  <si>
    <t>O1009</t>
  </si>
  <si>
    <t>O1010</t>
  </si>
  <si>
    <t>O1011</t>
  </si>
  <si>
    <t>O1012</t>
  </si>
  <si>
    <t>O1013</t>
  </si>
  <si>
    <t>O1014</t>
  </si>
  <si>
    <t>Flipkart</t>
  </si>
  <si>
    <t>O1015</t>
  </si>
  <si>
    <t>O1016</t>
  </si>
  <si>
    <t>O1017</t>
  </si>
  <si>
    <t>O1018</t>
  </si>
  <si>
    <t>O1019</t>
  </si>
  <si>
    <t>O1020</t>
  </si>
  <si>
    <t>O1021</t>
  </si>
  <si>
    <t>O1022</t>
  </si>
  <si>
    <t>O1023</t>
  </si>
  <si>
    <t>O1024</t>
  </si>
  <si>
    <t>O1025</t>
  </si>
  <si>
    <t>O1026</t>
  </si>
  <si>
    <t>O1027</t>
  </si>
  <si>
    <t>O1028</t>
  </si>
  <si>
    <t>O1029</t>
  </si>
  <si>
    <t>Row Labels</t>
  </si>
  <si>
    <t>Grand Total</t>
  </si>
  <si>
    <t>Jan</t>
  </si>
  <si>
    <t>Feb</t>
  </si>
  <si>
    <t>Mar</t>
  </si>
  <si>
    <t>Apr</t>
  </si>
  <si>
    <t>May</t>
  </si>
  <si>
    <t>Jun</t>
  </si>
  <si>
    <t>Jul</t>
  </si>
  <si>
    <t>Aug</t>
  </si>
  <si>
    <t>Sep</t>
  </si>
  <si>
    <t>Oct</t>
  </si>
  <si>
    <t>Nov</t>
  </si>
  <si>
    <t>Dec</t>
  </si>
  <si>
    <t>Month</t>
  </si>
  <si>
    <t>Sales Person</t>
  </si>
  <si>
    <t>Total Revenue by Region</t>
  </si>
  <si>
    <t>Revenue and Profit by Salesperson</t>
  </si>
  <si>
    <t>Monthly sales trend (group by Date → Month)</t>
  </si>
  <si>
    <t>Top 5 Products by Revenue</t>
  </si>
  <si>
    <t>Table: Top Salespersons</t>
  </si>
  <si>
    <t>Count of Employee ID</t>
  </si>
  <si>
    <t>Average of Age</t>
  </si>
  <si>
    <t>Average of Salary</t>
  </si>
  <si>
    <t>2021</t>
  </si>
  <si>
    <t>2022</t>
  </si>
  <si>
    <t>2023</t>
  </si>
  <si>
    <t>2024</t>
  </si>
  <si>
    <t>2025</t>
  </si>
  <si>
    <t>2026</t>
  </si>
  <si>
    <t>Sum of Total</t>
  </si>
  <si>
    <t>Sum of Closing Stock</t>
  </si>
  <si>
    <t>Sum of Opening Stock</t>
  </si>
  <si>
    <t>Sum of Budget</t>
  </si>
  <si>
    <t>Sum of Expense Amount</t>
  </si>
  <si>
    <t>Count of Order ID</t>
  </si>
  <si>
    <t>Average of Delivery Duration (Days)</t>
  </si>
  <si>
    <t>Sum of Order Value</t>
  </si>
  <si>
    <t>Headcount</t>
  </si>
  <si>
    <t>Week</t>
  </si>
  <si>
    <t xml:space="preserve">Weekly Movement Qty </t>
  </si>
  <si>
    <t>Overrun</t>
  </si>
  <si>
    <t>OverRun %</t>
  </si>
  <si>
    <t>Sales Analysis Report</t>
  </si>
  <si>
    <t>HR Analysis Report</t>
  </si>
  <si>
    <t>Total Exp Amount</t>
  </si>
  <si>
    <t>Total Budget</t>
  </si>
  <si>
    <t>Pivot Expense Tracking Report</t>
  </si>
  <si>
    <t>Customer Order Analysis Report</t>
  </si>
  <si>
    <t>Total Revenue</t>
  </si>
  <si>
    <t>Total Profit</t>
  </si>
  <si>
    <t>Department/Status</t>
  </si>
  <si>
    <t>Year</t>
  </si>
  <si>
    <t>Department/Staus</t>
  </si>
  <si>
    <t>Total closing Stock</t>
  </si>
  <si>
    <t>Total Closing Stock</t>
  </si>
  <si>
    <t>Inventory Analysis Report</t>
  </si>
  <si>
    <t>Expense Catogory</t>
  </si>
  <si>
    <t>Project</t>
  </si>
  <si>
    <t>Total Expense Amount</t>
  </si>
  <si>
    <t>Customer/Delivery Status</t>
  </si>
  <si>
    <t>Order Count</t>
  </si>
  <si>
    <t>Total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</si>
</sst>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x14ac:knownFonts="1">
    <font>
      <sz val="11"/>
      <color theme="1"/>
      <name val="Calibri"/>
      <family val="2"/>
      <scheme val="minor"/>
    </font>
    <font>
      <b/>
      <sz val="11"/>
      <name val="Calibri"/>
      <family val="2"/>
    </font>
    <font>
      <b/>
      <sz val="11"/>
      <color theme="1"/>
      <name val="Calibri"/>
      <family val="2"/>
      <scheme val="minor"/>
    </font>
    <font>
      <b/>
      <sz val="18"/>
      <color theme="1"/>
      <name val="Calibri"/>
      <family val="2"/>
      <scheme val="minor"/>
    </font>
    <font>
      <sz val="11"/>
      <color theme="1"/>
      <name val="Calibri"/>
      <family val="2"/>
      <scheme val="minor"/>
    </font>
    <font>
      <b/>
      <sz val="16"/>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18">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style="thin">
        <color auto="1"/>
      </right>
      <top/>
      <bottom/>
      <diagonal/>
    </border>
    <border>
      <left/>
      <right/>
      <top style="medium">
        <color indexed="64"/>
      </top>
      <bottom style="medium">
        <color indexed="64"/>
      </bottom>
      <diagonal/>
    </border>
  </borders>
  <cellStyleXfs count="2">
    <xf numFmtId="0" fontId="0" fillId="0" borderId="0"/>
    <xf numFmtId="9" fontId="4" fillId="0" borderId="0" applyFont="0" applyFill="0" applyBorder="0" applyAlignment="0" applyProtection="0"/>
  </cellStyleXfs>
  <cellXfs count="75">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12" xfId="0" applyBorder="1"/>
    <xf numFmtId="0" fontId="0" fillId="0" borderId="11" xfId="0" applyBorder="1" applyAlignment="1">
      <alignment horizontal="left"/>
    </xf>
    <xf numFmtId="0" fontId="0" fillId="0" borderId="8" xfId="0" applyBorder="1"/>
    <xf numFmtId="0" fontId="0" fillId="0" borderId="7" xfId="0" applyBorder="1"/>
    <xf numFmtId="0" fontId="0" fillId="0" borderId="11" xfId="0" applyBorder="1"/>
    <xf numFmtId="0" fontId="0" fillId="0" borderId="6" xfId="0" applyBorder="1"/>
    <xf numFmtId="0" fontId="0" fillId="0" borderId="3" xfId="0" pivotButton="1" applyBorder="1"/>
    <xf numFmtId="0" fontId="0" fillId="0" borderId="5" xfId="0" applyBorder="1"/>
    <xf numFmtId="0" fontId="0" fillId="0" borderId="13" xfId="0" applyBorder="1"/>
    <xf numFmtId="0" fontId="0" fillId="0" borderId="15" xfId="0" applyBorder="1"/>
    <xf numFmtId="0" fontId="0" fillId="0" borderId="2" xfId="0" pivotButton="1" applyBorder="1"/>
    <xf numFmtId="0" fontId="0" fillId="0" borderId="2" xfId="0" applyBorder="1" applyAlignment="1">
      <alignment horizontal="left"/>
    </xf>
    <xf numFmtId="0" fontId="0" fillId="0" borderId="2" xfId="0" applyBorder="1"/>
    <xf numFmtId="0" fontId="0" fillId="0" borderId="13" xfId="0" applyBorder="1" applyAlignment="1">
      <alignment horizontal="left" indent="1"/>
    </xf>
    <xf numFmtId="0" fontId="0" fillId="0" borderId="15" xfId="0" applyBorder="1" applyAlignment="1">
      <alignment horizontal="left" indent="1"/>
    </xf>
    <xf numFmtId="0" fontId="0" fillId="0" borderId="4" xfId="0" applyBorder="1"/>
    <xf numFmtId="0" fontId="0" fillId="0" borderId="3" xfId="0" applyBorder="1"/>
    <xf numFmtId="0" fontId="0" fillId="0" borderId="10" xfId="0" applyBorder="1"/>
    <xf numFmtId="0" fontId="0" fillId="0" borderId="15" xfId="0" applyBorder="1" applyAlignment="1">
      <alignment horizontal="left"/>
    </xf>
    <xf numFmtId="0" fontId="0" fillId="0" borderId="14" xfId="0" applyBorder="1" applyAlignment="1">
      <alignment horizontal="left"/>
    </xf>
    <xf numFmtId="10" fontId="0" fillId="0" borderId="0" xfId="0" applyNumberFormat="1"/>
    <xf numFmtId="0" fontId="0" fillId="0" borderId="0" xfId="0" applyAlignment="1">
      <alignment horizontal="left" indent="1"/>
    </xf>
    <xf numFmtId="0" fontId="2" fillId="0" borderId="0" xfId="0" applyFont="1"/>
    <xf numFmtId="0" fontId="0" fillId="0" borderId="13" xfId="0" pivotButton="1" applyBorder="1"/>
    <xf numFmtId="0" fontId="0" fillId="0" borderId="13" xfId="0" applyBorder="1" applyAlignment="1">
      <alignment horizontal="left"/>
    </xf>
    <xf numFmtId="0" fontId="0" fillId="0" borderId="9" xfId="0" applyBorder="1"/>
    <xf numFmtId="0" fontId="1" fillId="0" borderId="16" xfId="0" applyFont="1" applyBorder="1" applyAlignment="1">
      <alignment horizontal="center" vertical="top"/>
    </xf>
    <xf numFmtId="0" fontId="0" fillId="0" borderId="6" xfId="0" applyBorder="1" applyAlignment="1">
      <alignment horizontal="left"/>
    </xf>
    <xf numFmtId="0" fontId="0" fillId="0" borderId="14" xfId="0" applyBorder="1"/>
    <xf numFmtId="0" fontId="0" fillId="0" borderId="11" xfId="0" applyBorder="1" applyAlignment="1">
      <alignment horizontal="left" indent="1"/>
    </xf>
    <xf numFmtId="0" fontId="0" fillId="0" borderId="11" xfId="0" applyBorder="1" applyAlignment="1">
      <alignment horizontal="left" indent="2"/>
    </xf>
    <xf numFmtId="0" fontId="0" fillId="0" borderId="2" xfId="0" applyBorder="1" applyAlignment="1">
      <alignment horizontal="left" indent="1"/>
    </xf>
    <xf numFmtId="0" fontId="0" fillId="0" borderId="4" xfId="0" pivotButton="1" applyBorder="1"/>
    <xf numFmtId="0" fontId="0" fillId="0" borderId="3" xfId="0" pivotButton="1" applyBorder="1" applyAlignment="1">
      <alignment wrapText="1"/>
    </xf>
    <xf numFmtId="0" fontId="0" fillId="0" borderId="9" xfId="0" pivotButton="1" applyBorder="1"/>
    <xf numFmtId="0" fontId="0" fillId="0" borderId="13" xfId="0" pivotButton="1" applyBorder="1" applyAlignment="1">
      <alignment horizontal="left" vertical="center" wrapText="1"/>
    </xf>
    <xf numFmtId="0" fontId="2" fillId="0" borderId="15" xfId="0" applyFont="1" applyBorder="1"/>
    <xf numFmtId="0" fontId="2" fillId="3" borderId="13" xfId="0" applyFont="1" applyFill="1" applyBorder="1" applyAlignment="1">
      <alignment vertical="top"/>
    </xf>
    <xf numFmtId="9" fontId="2" fillId="0" borderId="15" xfId="1" applyFont="1" applyBorder="1"/>
    <xf numFmtId="10" fontId="0" fillId="0" borderId="12" xfId="0" applyNumberFormat="1" applyBorder="1"/>
    <xf numFmtId="10" fontId="0" fillId="0" borderId="8" xfId="0" applyNumberFormat="1" applyBorder="1"/>
    <xf numFmtId="0" fontId="0" fillId="0" borderId="2" xfId="0" applyBorder="1" applyAlignment="1">
      <alignment horizontal="right"/>
    </xf>
    <xf numFmtId="0" fontId="0" fillId="0" borderId="2" xfId="0" pivotButton="1" applyBorder="1" applyAlignment="1">
      <alignment vertical="top" wrapText="1"/>
    </xf>
    <xf numFmtId="0" fontId="0" fillId="0" borderId="2" xfId="0" applyBorder="1" applyAlignment="1">
      <alignment horizontal="right" vertical="top"/>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2" fillId="2" borderId="3" xfId="0" applyFont="1" applyFill="1" applyBorder="1" applyAlignment="1">
      <alignment horizontal="center" wrapText="1"/>
    </xf>
    <xf numFmtId="0" fontId="2" fillId="2" borderId="5" xfId="0" applyFont="1" applyFill="1" applyBorder="1" applyAlignment="1">
      <alignment horizontal="center" wrapText="1"/>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8" xfId="0" applyFont="1" applyFill="1" applyBorder="1" applyAlignment="1">
      <alignment horizontal="center" vertical="center"/>
    </xf>
    <xf numFmtId="0" fontId="6" fillId="2" borderId="9" xfId="0" applyFont="1" applyFill="1" applyBorder="1" applyAlignment="1">
      <alignment horizontal="center"/>
    </xf>
    <xf numFmtId="0" fontId="6" fillId="2" borderId="17" xfId="0" applyFont="1" applyFill="1" applyBorder="1" applyAlignment="1">
      <alignment horizontal="center"/>
    </xf>
    <xf numFmtId="0" fontId="6" fillId="2" borderId="10" xfId="0" applyFont="1" applyFill="1" applyBorder="1" applyAlignment="1">
      <alignment horizont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cellXfs>
  <cellStyles count="2">
    <cellStyle name="Normal" xfId="0" builtinId="0"/>
    <cellStyle name="Percent" xfId="1" builtinId="5"/>
  </cellStyles>
  <dxfs count="283">
    <dxf>
      <font>
        <color rgb="FF9C0006"/>
      </font>
      <fill>
        <patternFill>
          <bgColor rgb="FFFFC7CE"/>
        </patternFill>
      </fill>
    </dxf>
    <dxf>
      <font>
        <color rgb="FF9C0006"/>
      </font>
      <fill>
        <patternFill>
          <bgColor rgb="FFFFC7CE"/>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righ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righ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top"/>
    </dxf>
    <dxf>
      <alignment vertical="top"/>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font>
        <b/>
      </font>
    </dxf>
    <dxf>
      <alignment vertical="cent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font>
        <b/>
      </font>
    </dxf>
    <dxf>
      <alignment horizontal="center"/>
    </dxf>
    <dxf>
      <alignment vertical="cent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1/relationships/timelineCache" Target="timelineCaches/timelineCache2.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11/relationships/timelineCache" Target="timelineCaches/timelineCache1.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5.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[Assignment_5_Data.xlsx]Pivot Sales Chart 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Sales Chart Analysis'!$N$26</c:f>
              <c:strCache>
                <c:ptCount val="1"/>
                <c:pt idx="0">
                  <c:v>Total Revenue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 Chart Analysis'!$M$27:$M$39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Sales Chart Analysis'!$N$27:$N$39</c:f>
              <c:numCache>
                <c:formatCode>General</c:formatCode>
                <c:ptCount val="12"/>
                <c:pt idx="0">
                  <c:v>12630</c:v>
                </c:pt>
                <c:pt idx="1">
                  <c:v>32151</c:v>
                </c:pt>
                <c:pt idx="2">
                  <c:v>24273</c:v>
                </c:pt>
                <c:pt idx="3">
                  <c:v>36244</c:v>
                </c:pt>
                <c:pt idx="4">
                  <c:v>2180</c:v>
                </c:pt>
                <c:pt idx="5">
                  <c:v>3780</c:v>
                </c:pt>
                <c:pt idx="6">
                  <c:v>16470</c:v>
                </c:pt>
                <c:pt idx="7">
                  <c:v>18614</c:v>
                </c:pt>
                <c:pt idx="8">
                  <c:v>24674</c:v>
                </c:pt>
                <c:pt idx="9">
                  <c:v>2670</c:v>
                </c:pt>
                <c:pt idx="10">
                  <c:v>27740</c:v>
                </c:pt>
                <c:pt idx="11">
                  <c:v>20412</c:v>
                </c:pt>
              </c:numCache>
            </c:numRef>
          </c:val>
          <c:smooth val="0"/>
          <c:extLst>
            <c:ext xmlns:c16="http://schemas.microsoft.com/office/drawing/2014/chart" uri="{C3380CC4-5D6E-409C-BE32-E72D297353CC}">
              <c16:uniqueId val="{00000000-2095-4A15-AE21-8F2E8E000F0C}"/>
            </c:ext>
          </c:extLst>
        </c:ser>
        <c:ser>
          <c:idx val="1"/>
          <c:order val="1"/>
          <c:tx>
            <c:strRef>
              <c:f>'Pivot Sales Chart Analysis'!$O$26</c:f>
              <c:strCache>
                <c:ptCount val="1"/>
                <c:pt idx="0">
                  <c:v>Total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 Chart Analysis'!$M$27:$M$39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Sales Chart Analysis'!$O$27:$O$39</c:f>
              <c:numCache>
                <c:formatCode>General</c:formatCode>
                <c:ptCount val="12"/>
                <c:pt idx="0">
                  <c:v>2526</c:v>
                </c:pt>
                <c:pt idx="1">
                  <c:v>6430.2000000000007</c:v>
                </c:pt>
                <c:pt idx="2">
                  <c:v>4854.6000000000004</c:v>
                </c:pt>
                <c:pt idx="3">
                  <c:v>7248.8</c:v>
                </c:pt>
                <c:pt idx="4">
                  <c:v>436</c:v>
                </c:pt>
                <c:pt idx="5">
                  <c:v>756</c:v>
                </c:pt>
                <c:pt idx="6">
                  <c:v>3294</c:v>
                </c:pt>
                <c:pt idx="7">
                  <c:v>3722.8</c:v>
                </c:pt>
                <c:pt idx="8">
                  <c:v>4934.8</c:v>
                </c:pt>
                <c:pt idx="9">
                  <c:v>534</c:v>
                </c:pt>
                <c:pt idx="10">
                  <c:v>5548</c:v>
                </c:pt>
                <c:pt idx="11">
                  <c:v>4082.3999999999996</c:v>
                </c:pt>
              </c:numCache>
            </c:numRef>
          </c:val>
          <c:smooth val="0"/>
          <c:extLst>
            <c:ext xmlns:c16="http://schemas.microsoft.com/office/drawing/2014/chart" uri="{C3380CC4-5D6E-409C-BE32-E72D297353CC}">
              <c16:uniqueId val="{00000001-2095-4A15-AE21-8F2E8E000F0C}"/>
            </c:ext>
          </c:extLst>
        </c:ser>
        <c:dLbls>
          <c:dLblPos val="t"/>
          <c:showLegendKey val="0"/>
          <c:showVal val="1"/>
          <c:showCatName val="0"/>
          <c:showSerName val="0"/>
          <c:showPercent val="0"/>
          <c:showBubbleSize val="0"/>
        </c:dLbls>
        <c:smooth val="0"/>
        <c:axId val="552437672"/>
        <c:axId val="552438032"/>
      </c:lineChart>
      <c:catAx>
        <c:axId val="552437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438032"/>
        <c:crosses val="autoZero"/>
        <c:auto val="1"/>
        <c:lblAlgn val="ctr"/>
        <c:lblOffset val="100"/>
        <c:noMultiLvlLbl val="0"/>
      </c:catAx>
      <c:valAx>
        <c:axId val="552438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437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[Assignment_5_Data.xlsx]Pivot Sales Chart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Sales Chart Analysis'!$M$17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 Chart Analysis'!$L$18:$L$22</c:f>
              <c:strCache>
                <c:ptCount val="4"/>
                <c:pt idx="0">
                  <c:v>East</c:v>
                </c:pt>
                <c:pt idx="1">
                  <c:v>North</c:v>
                </c:pt>
                <c:pt idx="2">
                  <c:v>South</c:v>
                </c:pt>
                <c:pt idx="3">
                  <c:v>West</c:v>
                </c:pt>
              </c:strCache>
            </c:strRef>
          </c:cat>
          <c:val>
            <c:numRef>
              <c:f>'Pivot Sales Chart Analysis'!$M$18:$M$22</c:f>
              <c:numCache>
                <c:formatCode>General</c:formatCode>
                <c:ptCount val="4"/>
                <c:pt idx="0">
                  <c:v>45230</c:v>
                </c:pt>
                <c:pt idx="1">
                  <c:v>55780</c:v>
                </c:pt>
                <c:pt idx="2">
                  <c:v>90109</c:v>
                </c:pt>
                <c:pt idx="3">
                  <c:v>30719</c:v>
                </c:pt>
              </c:numCache>
            </c:numRef>
          </c:val>
          <c:extLst>
            <c:ext xmlns:c16="http://schemas.microsoft.com/office/drawing/2014/chart" uri="{C3380CC4-5D6E-409C-BE32-E72D297353CC}">
              <c16:uniqueId val="{00000000-6FD4-4F6F-B55E-3BA64357D7E7}"/>
            </c:ext>
          </c:extLst>
        </c:ser>
        <c:dLbls>
          <c:dLblPos val="outEnd"/>
          <c:showLegendKey val="0"/>
          <c:showVal val="1"/>
          <c:showCatName val="0"/>
          <c:showSerName val="0"/>
          <c:showPercent val="0"/>
          <c:showBubbleSize val="0"/>
        </c:dLbls>
        <c:gapWidth val="182"/>
        <c:axId val="552449192"/>
        <c:axId val="552449912"/>
      </c:barChart>
      <c:catAx>
        <c:axId val="5524491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449912"/>
        <c:crosses val="autoZero"/>
        <c:auto val="1"/>
        <c:lblAlgn val="ctr"/>
        <c:lblOffset val="100"/>
        <c:noMultiLvlLbl val="0"/>
      </c:catAx>
      <c:valAx>
        <c:axId val="5524499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449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[Assignment_5_Data.xlsx]Pivot HR Analysis!PivotTable15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baseline="0">
                <a:solidFill>
                  <a:sysClr val="windowText" lastClr="000000">
                    <a:lumMod val="65000"/>
                    <a:lumOff val="35000"/>
                  </a:sysClr>
                </a:solidFill>
              </a:rPr>
              <a:t>Attrition by Department</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HR Analysis'!$K$8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HR Analysis'!$J$9:$J$15</c:f>
              <c:multiLvlStrCache>
                <c:ptCount val="5"/>
                <c:lvl>
                  <c:pt idx="0">
                    <c:v>Finance</c:v>
                  </c:pt>
                  <c:pt idx="1">
                    <c:v>HR</c:v>
                  </c:pt>
                  <c:pt idx="2">
                    <c:v>IT</c:v>
                  </c:pt>
                  <c:pt idx="3">
                    <c:v>Sales</c:v>
                  </c:pt>
                  <c:pt idx="4">
                    <c:v>Support</c:v>
                  </c:pt>
                </c:lvl>
                <c:lvl>
                  <c:pt idx="0">
                    <c:v>Resigned</c:v>
                  </c:pt>
                </c:lvl>
              </c:multiLvlStrCache>
            </c:multiLvlStrRef>
          </c:cat>
          <c:val>
            <c:numRef>
              <c:f>'Pivot HR Analysis'!$K$9:$K$15</c:f>
              <c:numCache>
                <c:formatCode>General</c:formatCode>
                <c:ptCount val="5"/>
                <c:pt idx="0">
                  <c:v>8</c:v>
                </c:pt>
                <c:pt idx="1">
                  <c:v>2</c:v>
                </c:pt>
                <c:pt idx="2">
                  <c:v>2</c:v>
                </c:pt>
                <c:pt idx="3">
                  <c:v>4</c:v>
                </c:pt>
                <c:pt idx="4">
                  <c:v>4</c:v>
                </c:pt>
              </c:numCache>
            </c:numRef>
          </c:val>
          <c:extLst>
            <c:ext xmlns:c16="http://schemas.microsoft.com/office/drawing/2014/chart" uri="{C3380CC4-5D6E-409C-BE32-E72D297353CC}">
              <c16:uniqueId val="{00000000-6D79-49DE-8124-3AAE37ADE1FA}"/>
            </c:ext>
          </c:extLst>
        </c:ser>
        <c:dLbls>
          <c:dLblPos val="outEnd"/>
          <c:showLegendKey val="0"/>
          <c:showVal val="1"/>
          <c:showCatName val="0"/>
          <c:showSerName val="0"/>
          <c:showPercent val="0"/>
          <c:showBubbleSize val="0"/>
        </c:dLbls>
        <c:gapWidth val="219"/>
        <c:overlap val="-27"/>
        <c:axId val="622670064"/>
        <c:axId val="622670424"/>
      </c:barChart>
      <c:catAx>
        <c:axId val="62267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670424"/>
        <c:crosses val="autoZero"/>
        <c:auto val="1"/>
        <c:lblAlgn val="ctr"/>
        <c:lblOffset val="100"/>
        <c:noMultiLvlLbl val="0"/>
      </c:catAx>
      <c:valAx>
        <c:axId val="62267042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67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[Assignment_5_Data.xlsx]Pivot HR Analysis!PivotTable14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HR Analysis'!$H$34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F7-43B6-A86C-8E3D028463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F7-43B6-A86C-8E3D0284634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HR Analysis'!$G$35:$G$37</c:f>
              <c:strCache>
                <c:ptCount val="2"/>
                <c:pt idx="0">
                  <c:v>Female</c:v>
                </c:pt>
                <c:pt idx="1">
                  <c:v>Male</c:v>
                </c:pt>
              </c:strCache>
            </c:strRef>
          </c:cat>
          <c:val>
            <c:numRef>
              <c:f>'Pivot HR Analysis'!$H$35:$H$37</c:f>
              <c:numCache>
                <c:formatCode>General</c:formatCode>
                <c:ptCount val="2"/>
                <c:pt idx="0">
                  <c:v>13</c:v>
                </c:pt>
                <c:pt idx="1">
                  <c:v>17</c:v>
                </c:pt>
              </c:numCache>
            </c:numRef>
          </c:val>
          <c:extLst>
            <c:ext xmlns:c16="http://schemas.microsoft.com/office/drawing/2014/chart" uri="{C3380CC4-5D6E-409C-BE32-E72D297353CC}">
              <c16:uniqueId val="{00000004-EEF7-43B6-A86C-8E3D0284634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[Assignment_5_Data.xlsx]Pivot Inventory Analysis!PivotTable26</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Opening vs Closing stock by Category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Inventory Analysis'!$J$22</c:f>
              <c:strCache>
                <c:ptCount val="1"/>
                <c:pt idx="0">
                  <c:v>Sum of Opening Stock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Inventory Analysis'!$I$23:$I$26</c:f>
              <c:strCache>
                <c:ptCount val="3"/>
                <c:pt idx="0">
                  <c:v>Electronics</c:v>
                </c:pt>
                <c:pt idx="1">
                  <c:v>Furniture</c:v>
                </c:pt>
                <c:pt idx="2">
                  <c:v>Stationery</c:v>
                </c:pt>
              </c:strCache>
            </c:strRef>
          </c:cat>
          <c:val>
            <c:numRef>
              <c:f>'Pivot Inventory Analysis'!$J$23:$J$26</c:f>
              <c:numCache>
                <c:formatCode>General</c:formatCode>
                <c:ptCount val="3"/>
                <c:pt idx="0">
                  <c:v>1850</c:v>
                </c:pt>
                <c:pt idx="1">
                  <c:v>652</c:v>
                </c:pt>
                <c:pt idx="2">
                  <c:v>1232</c:v>
                </c:pt>
              </c:numCache>
            </c:numRef>
          </c:val>
          <c:extLst>
            <c:ext xmlns:c16="http://schemas.microsoft.com/office/drawing/2014/chart" uri="{C3380CC4-5D6E-409C-BE32-E72D297353CC}">
              <c16:uniqueId val="{00000000-C0F0-4E02-84C1-FFC2C9323ADC}"/>
            </c:ext>
          </c:extLst>
        </c:ser>
        <c:ser>
          <c:idx val="1"/>
          <c:order val="1"/>
          <c:tx>
            <c:strRef>
              <c:f>'Pivot Inventory Analysis'!$K$22</c:f>
              <c:strCache>
                <c:ptCount val="1"/>
                <c:pt idx="0">
                  <c:v>Sum of Closing Stock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Inventory Analysis'!$I$23:$I$26</c:f>
              <c:strCache>
                <c:ptCount val="3"/>
                <c:pt idx="0">
                  <c:v>Electronics</c:v>
                </c:pt>
                <c:pt idx="1">
                  <c:v>Furniture</c:v>
                </c:pt>
                <c:pt idx="2">
                  <c:v>Stationery</c:v>
                </c:pt>
              </c:strCache>
            </c:strRef>
          </c:cat>
          <c:val>
            <c:numRef>
              <c:f>'Pivot Inventory Analysis'!$K$23:$K$26</c:f>
              <c:numCache>
                <c:formatCode>General</c:formatCode>
                <c:ptCount val="3"/>
                <c:pt idx="0">
                  <c:v>1874</c:v>
                </c:pt>
                <c:pt idx="1">
                  <c:v>592</c:v>
                </c:pt>
                <c:pt idx="2">
                  <c:v>1343</c:v>
                </c:pt>
              </c:numCache>
            </c:numRef>
          </c:val>
          <c:extLst>
            <c:ext xmlns:c16="http://schemas.microsoft.com/office/drawing/2014/chart" uri="{C3380CC4-5D6E-409C-BE32-E72D297353CC}">
              <c16:uniqueId val="{00000001-C0F0-4E02-84C1-FFC2C9323ADC}"/>
            </c:ext>
          </c:extLst>
        </c:ser>
        <c:dLbls>
          <c:dLblPos val="ctr"/>
          <c:showLegendKey val="0"/>
          <c:showVal val="1"/>
          <c:showCatName val="0"/>
          <c:showSerName val="0"/>
          <c:showPercent val="0"/>
          <c:showBubbleSize val="0"/>
        </c:dLbls>
        <c:gapWidth val="79"/>
        <c:overlap val="100"/>
        <c:axId val="405639304"/>
        <c:axId val="405638944"/>
      </c:barChart>
      <c:catAx>
        <c:axId val="405639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05638944"/>
        <c:crosses val="autoZero"/>
        <c:auto val="1"/>
        <c:lblAlgn val="ctr"/>
        <c:lblOffset val="100"/>
        <c:noMultiLvlLbl val="0"/>
      </c:catAx>
      <c:valAx>
        <c:axId val="405638944"/>
        <c:scaling>
          <c:orientation val="minMax"/>
        </c:scaling>
        <c:delete val="1"/>
        <c:axPos val="l"/>
        <c:numFmt formatCode="General" sourceLinked="1"/>
        <c:majorTickMark val="none"/>
        <c:minorTickMark val="none"/>
        <c:tickLblPos val="nextTo"/>
        <c:crossAx val="405639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Weekly Inventory</a:t>
            </a:r>
            <a:r>
              <a:rPr lang="en-US" baseline="0"/>
              <a:t> Movement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5"/>
              <c:pt idx="0">
                <c:v>1</c:v>
              </c:pt>
              <c:pt idx="1">
                <c:v>2</c:v>
              </c:pt>
              <c:pt idx="2">
                <c:v>3</c:v>
              </c:pt>
              <c:pt idx="3">
                <c:v>4</c:v>
              </c:pt>
              <c:pt idx="4">
                <c:v>5</c:v>
              </c:pt>
            </c:strLit>
          </c:cat>
          <c:val>
            <c:numLit>
              <c:formatCode>General</c:formatCode>
              <c:ptCount val="5"/>
              <c:pt idx="0">
                <c:v>53</c:v>
              </c:pt>
              <c:pt idx="1">
                <c:v>31</c:v>
              </c:pt>
              <c:pt idx="2">
                <c:v>243</c:v>
              </c:pt>
              <c:pt idx="3">
                <c:v>175</c:v>
              </c:pt>
              <c:pt idx="4">
                <c:v>129</c:v>
              </c:pt>
            </c:numLit>
          </c:val>
          <c:smooth val="0"/>
          <c:extLst>
            <c:ext xmlns:c16="http://schemas.microsoft.com/office/drawing/2014/chart" uri="{C3380CC4-5D6E-409C-BE32-E72D297353CC}">
              <c16:uniqueId val="{00000000-47E5-453E-B24C-41D741585CD3}"/>
            </c:ext>
          </c:extLst>
        </c:ser>
        <c:dLbls>
          <c:dLblPos val="t"/>
          <c:showLegendKey val="0"/>
          <c:showVal val="1"/>
          <c:showCatName val="0"/>
          <c:showSerName val="0"/>
          <c:showPercent val="0"/>
          <c:showBubbleSize val="0"/>
        </c:dLbls>
        <c:smooth val="0"/>
        <c:axId val="352832848"/>
        <c:axId val="420489160"/>
      </c:lineChart>
      <c:catAx>
        <c:axId val="3528328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Week</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0489160"/>
        <c:crosses val="autoZero"/>
        <c:auto val="1"/>
        <c:lblAlgn val="ctr"/>
        <c:lblOffset val="100"/>
        <c:noMultiLvlLbl val="0"/>
      </c:catAx>
      <c:valAx>
        <c:axId val="42048916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Inventory</a:t>
                </a:r>
                <a:r>
                  <a:rPr lang="en-IN" baseline="0"/>
                  <a:t> Movement</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2832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[Assignment_5_Data.xlsx]Pivot Expense Tracking!PivotTable32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Expense Tracking'!$I$3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Expense Tracking'!$H$4:$H$16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Expense Tracking'!$I$4:$I$16</c:f>
              <c:numCache>
                <c:formatCode>General</c:formatCode>
                <c:ptCount val="12"/>
                <c:pt idx="0">
                  <c:v>3137</c:v>
                </c:pt>
                <c:pt idx="1">
                  <c:v>1399</c:v>
                </c:pt>
                <c:pt idx="2">
                  <c:v>2771</c:v>
                </c:pt>
                <c:pt idx="3">
                  <c:v>18690</c:v>
                </c:pt>
                <c:pt idx="4">
                  <c:v>7390</c:v>
                </c:pt>
                <c:pt idx="5">
                  <c:v>6608</c:v>
                </c:pt>
                <c:pt idx="6">
                  <c:v>40058</c:v>
                </c:pt>
                <c:pt idx="7">
                  <c:v>21858</c:v>
                </c:pt>
                <c:pt idx="8">
                  <c:v>23100</c:v>
                </c:pt>
                <c:pt idx="9">
                  <c:v>7045</c:v>
                </c:pt>
                <c:pt idx="10">
                  <c:v>12382</c:v>
                </c:pt>
                <c:pt idx="11">
                  <c:v>10423</c:v>
                </c:pt>
              </c:numCache>
            </c:numRef>
          </c:val>
          <c:smooth val="0"/>
          <c:extLst>
            <c:ext xmlns:c16="http://schemas.microsoft.com/office/drawing/2014/chart" uri="{C3380CC4-5D6E-409C-BE32-E72D297353CC}">
              <c16:uniqueId val="{00000000-6CEE-4389-8E3E-77190CDAB291}"/>
            </c:ext>
          </c:extLst>
        </c:ser>
        <c:dLbls>
          <c:dLblPos val="t"/>
          <c:showLegendKey val="0"/>
          <c:showVal val="1"/>
          <c:showCatName val="0"/>
          <c:showSerName val="0"/>
          <c:showPercent val="0"/>
          <c:showBubbleSize val="0"/>
        </c:dLbls>
        <c:smooth val="0"/>
        <c:axId val="405638224"/>
        <c:axId val="405639304"/>
      </c:lineChart>
      <c:catAx>
        <c:axId val="40563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639304"/>
        <c:crosses val="autoZero"/>
        <c:auto val="1"/>
        <c:lblAlgn val="ctr"/>
        <c:lblOffset val="100"/>
        <c:noMultiLvlLbl val="0"/>
      </c:catAx>
      <c:valAx>
        <c:axId val="405639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63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[Assignment_5_Data.xlsx]Pivot Expense Tracking!PivotTable30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Expense Tracking'!$B$3</c:f>
              <c:strCache>
                <c:ptCount val="1"/>
                <c:pt idx="0">
                  <c:v>Sum of 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Expense Tracking'!$A$4:$A$8</c:f>
              <c:strCache>
                <c:ptCount val="4"/>
                <c:pt idx="0">
                  <c:v>Admin</c:v>
                </c:pt>
                <c:pt idx="1">
                  <c:v>IT</c:v>
                </c:pt>
                <c:pt idx="2">
                  <c:v>Marketing</c:v>
                </c:pt>
                <c:pt idx="3">
                  <c:v>Operations</c:v>
                </c:pt>
              </c:strCache>
            </c:strRef>
          </c:cat>
          <c:val>
            <c:numRef>
              <c:f>'Pivot Expense Tracking'!$B$4:$B$8</c:f>
              <c:numCache>
                <c:formatCode>General</c:formatCode>
                <c:ptCount val="4"/>
                <c:pt idx="0">
                  <c:v>100201</c:v>
                </c:pt>
                <c:pt idx="1">
                  <c:v>86839</c:v>
                </c:pt>
                <c:pt idx="2">
                  <c:v>21818</c:v>
                </c:pt>
                <c:pt idx="3">
                  <c:v>82279</c:v>
                </c:pt>
              </c:numCache>
            </c:numRef>
          </c:val>
          <c:extLst>
            <c:ext xmlns:c16="http://schemas.microsoft.com/office/drawing/2014/chart" uri="{C3380CC4-5D6E-409C-BE32-E72D297353CC}">
              <c16:uniqueId val="{00000000-817F-4F73-907F-278E13FCE876}"/>
            </c:ext>
          </c:extLst>
        </c:ser>
        <c:ser>
          <c:idx val="1"/>
          <c:order val="1"/>
          <c:tx>
            <c:strRef>
              <c:f>'Pivot Expense Tracking'!$C$3</c:f>
              <c:strCache>
                <c:ptCount val="1"/>
                <c:pt idx="0">
                  <c:v>Sum of Expense Amount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Expense Tracking'!$A$4:$A$8</c:f>
              <c:strCache>
                <c:ptCount val="4"/>
                <c:pt idx="0">
                  <c:v>Admin</c:v>
                </c:pt>
                <c:pt idx="1">
                  <c:v>IT</c:v>
                </c:pt>
                <c:pt idx="2">
                  <c:v>Marketing</c:v>
                </c:pt>
                <c:pt idx="3">
                  <c:v>Operations</c:v>
                </c:pt>
              </c:strCache>
            </c:strRef>
          </c:cat>
          <c:val>
            <c:numRef>
              <c:f>'Pivot Expense Tracking'!$C$4:$C$8</c:f>
              <c:numCache>
                <c:formatCode>General</c:formatCode>
                <c:ptCount val="4"/>
                <c:pt idx="0">
                  <c:v>54260</c:v>
                </c:pt>
                <c:pt idx="1">
                  <c:v>48167</c:v>
                </c:pt>
                <c:pt idx="2">
                  <c:v>11562</c:v>
                </c:pt>
                <c:pt idx="3">
                  <c:v>40872</c:v>
                </c:pt>
              </c:numCache>
            </c:numRef>
          </c:val>
          <c:extLst>
            <c:ext xmlns:c16="http://schemas.microsoft.com/office/drawing/2014/chart" uri="{C3380CC4-5D6E-409C-BE32-E72D297353CC}">
              <c16:uniqueId val="{00000001-817F-4F73-907F-278E13FCE876}"/>
            </c:ext>
          </c:extLst>
        </c:ser>
        <c:dLbls>
          <c:dLblPos val="outEnd"/>
          <c:showLegendKey val="0"/>
          <c:showVal val="1"/>
          <c:showCatName val="0"/>
          <c:showSerName val="0"/>
          <c:showPercent val="0"/>
          <c:showBubbleSize val="0"/>
        </c:dLbls>
        <c:gapWidth val="182"/>
        <c:axId val="631597832"/>
        <c:axId val="631595672"/>
      </c:barChart>
      <c:catAx>
        <c:axId val="631597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595672"/>
        <c:crosses val="autoZero"/>
        <c:auto val="1"/>
        <c:lblAlgn val="ctr"/>
        <c:lblOffset val="100"/>
        <c:noMultiLvlLbl val="0"/>
      </c:catAx>
      <c:valAx>
        <c:axId val="631595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597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[Assignment_5_Data.xlsx]Pivot Customer Order!PivotTable39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Customer Order'!$F$23</c:f>
              <c:strCache>
                <c:ptCount val="1"/>
                <c:pt idx="0">
                  <c:v>Sum of Order Value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Customer Order'!$E$24:$E$34</c:f>
              <c:strCache>
                <c:ptCount val="10"/>
                <c:pt idx="0">
                  <c:v>Feb</c:v>
                </c:pt>
                <c:pt idx="1">
                  <c:v>Mar</c:v>
                </c:pt>
                <c:pt idx="2">
                  <c:v>Apr</c:v>
                </c:pt>
                <c:pt idx="3">
                  <c:v>May</c:v>
                </c:pt>
                <c:pt idx="4">
                  <c:v>Jun</c:v>
                </c:pt>
                <c:pt idx="5">
                  <c:v>Jul</c:v>
                </c:pt>
                <c:pt idx="6">
                  <c:v>Aug</c:v>
                </c:pt>
                <c:pt idx="7">
                  <c:v>Sep</c:v>
                </c:pt>
                <c:pt idx="8">
                  <c:v>Oct</c:v>
                </c:pt>
                <c:pt idx="9">
                  <c:v>Nov</c:v>
                </c:pt>
              </c:strCache>
            </c:strRef>
          </c:cat>
          <c:val>
            <c:numRef>
              <c:f>'Pivot Customer Order'!$F$24:$F$34</c:f>
              <c:numCache>
                <c:formatCode>General</c:formatCode>
                <c:ptCount val="10"/>
                <c:pt idx="0">
                  <c:v>91056</c:v>
                </c:pt>
                <c:pt idx="1">
                  <c:v>14341</c:v>
                </c:pt>
                <c:pt idx="2">
                  <c:v>43861</c:v>
                </c:pt>
                <c:pt idx="3">
                  <c:v>115886</c:v>
                </c:pt>
                <c:pt idx="4">
                  <c:v>45803</c:v>
                </c:pt>
                <c:pt idx="5">
                  <c:v>140518</c:v>
                </c:pt>
                <c:pt idx="6">
                  <c:v>15431</c:v>
                </c:pt>
                <c:pt idx="7">
                  <c:v>87783</c:v>
                </c:pt>
                <c:pt idx="8">
                  <c:v>150393</c:v>
                </c:pt>
                <c:pt idx="9">
                  <c:v>80469</c:v>
                </c:pt>
              </c:numCache>
            </c:numRef>
          </c:val>
          <c:smooth val="0"/>
          <c:extLst>
            <c:ext xmlns:c16="http://schemas.microsoft.com/office/drawing/2014/chart" uri="{C3380CC4-5D6E-409C-BE32-E72D297353CC}">
              <c16:uniqueId val="{00000000-BB95-4B46-BEE8-119AB1D8BCB0}"/>
            </c:ext>
          </c:extLst>
        </c:ser>
        <c:ser>
          <c:idx val="1"/>
          <c:order val="1"/>
          <c:tx>
            <c:strRef>
              <c:f>'Pivot Customer Order'!$G$23</c:f>
              <c:strCache>
                <c:ptCount val="1"/>
                <c:pt idx="0">
                  <c:v>Count of Order ID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Customer Order'!$E$24:$E$34</c:f>
              <c:strCache>
                <c:ptCount val="10"/>
                <c:pt idx="0">
                  <c:v>Feb</c:v>
                </c:pt>
                <c:pt idx="1">
                  <c:v>Mar</c:v>
                </c:pt>
                <c:pt idx="2">
                  <c:v>Apr</c:v>
                </c:pt>
                <c:pt idx="3">
                  <c:v>May</c:v>
                </c:pt>
                <c:pt idx="4">
                  <c:v>Jun</c:v>
                </c:pt>
                <c:pt idx="5">
                  <c:v>Jul</c:v>
                </c:pt>
                <c:pt idx="6">
                  <c:v>Aug</c:v>
                </c:pt>
                <c:pt idx="7">
                  <c:v>Sep</c:v>
                </c:pt>
                <c:pt idx="8">
                  <c:v>Oct</c:v>
                </c:pt>
                <c:pt idx="9">
                  <c:v>Nov</c:v>
                </c:pt>
              </c:strCache>
            </c:strRef>
          </c:cat>
          <c:val>
            <c:numRef>
              <c:f>'Pivot Customer Order'!$G$24:$G$34</c:f>
              <c:numCache>
                <c:formatCode>General</c:formatCode>
                <c:ptCount val="10"/>
                <c:pt idx="0">
                  <c:v>3</c:v>
                </c:pt>
                <c:pt idx="1">
                  <c:v>1</c:v>
                </c:pt>
                <c:pt idx="2">
                  <c:v>1</c:v>
                </c:pt>
                <c:pt idx="3">
                  <c:v>5</c:v>
                </c:pt>
                <c:pt idx="4">
                  <c:v>2</c:v>
                </c:pt>
                <c:pt idx="5">
                  <c:v>4</c:v>
                </c:pt>
                <c:pt idx="6">
                  <c:v>2</c:v>
                </c:pt>
                <c:pt idx="7">
                  <c:v>3</c:v>
                </c:pt>
                <c:pt idx="8">
                  <c:v>5</c:v>
                </c:pt>
                <c:pt idx="9">
                  <c:v>4</c:v>
                </c:pt>
              </c:numCache>
            </c:numRef>
          </c:val>
          <c:smooth val="0"/>
          <c:extLst>
            <c:ext xmlns:c16="http://schemas.microsoft.com/office/drawing/2014/chart" uri="{C3380CC4-5D6E-409C-BE32-E72D297353CC}">
              <c16:uniqueId val="{00000001-AAFA-43CC-BCFF-3F11112FB17A}"/>
            </c:ext>
          </c:extLst>
        </c:ser>
        <c:dLbls>
          <c:dLblPos val="t"/>
          <c:showLegendKey val="0"/>
          <c:showVal val="1"/>
          <c:showCatName val="0"/>
          <c:showSerName val="0"/>
          <c:showPercent val="0"/>
          <c:showBubbleSize val="0"/>
        </c:dLbls>
        <c:smooth val="0"/>
        <c:axId val="622748832"/>
        <c:axId val="622746312"/>
      </c:lineChart>
      <c:catAx>
        <c:axId val="62274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746312"/>
        <c:crosses val="autoZero"/>
        <c:auto val="1"/>
        <c:lblAlgn val="ctr"/>
        <c:lblOffset val="100"/>
        <c:noMultiLvlLbl val="0"/>
      </c:catAx>
      <c:valAx>
        <c:axId val="622746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74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[Assignment_5_Data.xlsx]Pivot Customer Order!PivotTable37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Customer Order'!$J$13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Customer Order'!$I$14:$I$18</c:f>
              <c:strCache>
                <c:ptCount val="4"/>
                <c:pt idx="0">
                  <c:v>Flipkart</c:v>
                </c:pt>
                <c:pt idx="1">
                  <c:v>HUL</c:v>
                </c:pt>
                <c:pt idx="2">
                  <c:v>Reliance</c:v>
                </c:pt>
                <c:pt idx="3">
                  <c:v>Tata</c:v>
                </c:pt>
              </c:strCache>
            </c:strRef>
          </c:cat>
          <c:val>
            <c:numRef>
              <c:f>'Pivot Customer Order'!$J$14:$J$18</c:f>
              <c:numCache>
                <c:formatCode>General</c:formatCode>
                <c:ptCount val="4"/>
                <c:pt idx="0">
                  <c:v>3</c:v>
                </c:pt>
                <c:pt idx="1">
                  <c:v>6</c:v>
                </c:pt>
                <c:pt idx="2">
                  <c:v>1</c:v>
                </c:pt>
                <c:pt idx="3">
                  <c:v>3</c:v>
                </c:pt>
              </c:numCache>
            </c:numRef>
          </c:val>
          <c:extLst>
            <c:ext xmlns:c16="http://schemas.microsoft.com/office/drawing/2014/chart" uri="{C3380CC4-5D6E-409C-BE32-E72D297353CC}">
              <c16:uniqueId val="{00000000-EB53-4ADE-864F-6070A1A09D71}"/>
            </c:ext>
          </c:extLst>
        </c:ser>
        <c:dLbls>
          <c:dLblPos val="outEnd"/>
          <c:showLegendKey val="0"/>
          <c:showVal val="1"/>
          <c:showCatName val="0"/>
          <c:showSerName val="0"/>
          <c:showPercent val="0"/>
          <c:showBubbleSize val="0"/>
        </c:dLbls>
        <c:gapWidth val="182"/>
        <c:axId val="622752432"/>
        <c:axId val="622747392"/>
      </c:barChart>
      <c:catAx>
        <c:axId val="62275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747392"/>
        <c:crosses val="autoZero"/>
        <c:auto val="1"/>
        <c:lblAlgn val="ctr"/>
        <c:lblOffset val="100"/>
        <c:noMultiLvlLbl val="0"/>
      </c:catAx>
      <c:valAx>
        <c:axId val="622747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75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[Assignment_5_Data.xlsx]Pivot Expense Tracking!PivotTable32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Expense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Expense Tracking'!$I$3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Expense Tracking'!$H$4:$H$16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Expense Tracking'!$I$4:$I$16</c:f>
              <c:numCache>
                <c:formatCode>General</c:formatCode>
                <c:ptCount val="12"/>
                <c:pt idx="0">
                  <c:v>3137</c:v>
                </c:pt>
                <c:pt idx="1">
                  <c:v>1399</c:v>
                </c:pt>
                <c:pt idx="2">
                  <c:v>2771</c:v>
                </c:pt>
                <c:pt idx="3">
                  <c:v>18690</c:v>
                </c:pt>
                <c:pt idx="4">
                  <c:v>7390</c:v>
                </c:pt>
                <c:pt idx="5">
                  <c:v>6608</c:v>
                </c:pt>
                <c:pt idx="6">
                  <c:v>40058</c:v>
                </c:pt>
                <c:pt idx="7">
                  <c:v>21858</c:v>
                </c:pt>
                <c:pt idx="8">
                  <c:v>23100</c:v>
                </c:pt>
                <c:pt idx="9">
                  <c:v>7045</c:v>
                </c:pt>
                <c:pt idx="10">
                  <c:v>12382</c:v>
                </c:pt>
                <c:pt idx="11">
                  <c:v>10423</c:v>
                </c:pt>
              </c:numCache>
            </c:numRef>
          </c:val>
          <c:smooth val="0"/>
          <c:extLst>
            <c:ext xmlns:c16="http://schemas.microsoft.com/office/drawing/2014/chart" uri="{C3380CC4-5D6E-409C-BE32-E72D297353CC}">
              <c16:uniqueId val="{00000000-860A-49CC-9BE7-7AC087AE8E66}"/>
            </c:ext>
          </c:extLst>
        </c:ser>
        <c:dLbls>
          <c:dLblPos val="t"/>
          <c:showLegendKey val="0"/>
          <c:showVal val="1"/>
          <c:showCatName val="0"/>
          <c:showSerName val="0"/>
          <c:showPercent val="0"/>
          <c:showBubbleSize val="0"/>
        </c:dLbls>
        <c:smooth val="0"/>
        <c:axId val="405638224"/>
        <c:axId val="405639304"/>
      </c:lineChart>
      <c:catAx>
        <c:axId val="40563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639304"/>
        <c:crosses val="autoZero"/>
        <c:auto val="1"/>
        <c:lblAlgn val="ctr"/>
        <c:lblOffset val="100"/>
        <c:noMultiLvlLbl val="0"/>
      </c:catAx>
      <c:valAx>
        <c:axId val="405639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63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[Assignment_5_Data.xlsx]Pivot Expense Tracking!PivotTable30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Actual vs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Expense Tracking'!$B$3</c:f>
              <c:strCache>
                <c:ptCount val="1"/>
                <c:pt idx="0">
                  <c:v>Sum of 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Expense Tracking'!$A$4:$A$8</c:f>
              <c:strCache>
                <c:ptCount val="4"/>
                <c:pt idx="0">
                  <c:v>Admin</c:v>
                </c:pt>
                <c:pt idx="1">
                  <c:v>IT</c:v>
                </c:pt>
                <c:pt idx="2">
                  <c:v>Marketing</c:v>
                </c:pt>
                <c:pt idx="3">
                  <c:v>Operations</c:v>
                </c:pt>
              </c:strCache>
            </c:strRef>
          </c:cat>
          <c:val>
            <c:numRef>
              <c:f>'Pivot Expense Tracking'!$B$4:$B$8</c:f>
              <c:numCache>
                <c:formatCode>General</c:formatCode>
                <c:ptCount val="4"/>
                <c:pt idx="0">
                  <c:v>100201</c:v>
                </c:pt>
                <c:pt idx="1">
                  <c:v>86839</c:v>
                </c:pt>
                <c:pt idx="2">
                  <c:v>21818</c:v>
                </c:pt>
                <c:pt idx="3">
                  <c:v>82279</c:v>
                </c:pt>
              </c:numCache>
            </c:numRef>
          </c:val>
          <c:extLst>
            <c:ext xmlns:c16="http://schemas.microsoft.com/office/drawing/2014/chart" uri="{C3380CC4-5D6E-409C-BE32-E72D297353CC}">
              <c16:uniqueId val="{00000000-6AF9-4E37-A169-EA9D83F1E266}"/>
            </c:ext>
          </c:extLst>
        </c:ser>
        <c:ser>
          <c:idx val="1"/>
          <c:order val="1"/>
          <c:tx>
            <c:strRef>
              <c:f>'Pivot Expense Tracking'!$C$3</c:f>
              <c:strCache>
                <c:ptCount val="1"/>
                <c:pt idx="0">
                  <c:v>Sum of Expense Amount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Expense Tracking'!$A$4:$A$8</c:f>
              <c:strCache>
                <c:ptCount val="4"/>
                <c:pt idx="0">
                  <c:v>Admin</c:v>
                </c:pt>
                <c:pt idx="1">
                  <c:v>IT</c:v>
                </c:pt>
                <c:pt idx="2">
                  <c:v>Marketing</c:v>
                </c:pt>
                <c:pt idx="3">
                  <c:v>Operations</c:v>
                </c:pt>
              </c:strCache>
            </c:strRef>
          </c:cat>
          <c:val>
            <c:numRef>
              <c:f>'Pivot Expense Tracking'!$C$4:$C$8</c:f>
              <c:numCache>
                <c:formatCode>General</c:formatCode>
                <c:ptCount val="4"/>
                <c:pt idx="0">
                  <c:v>54260</c:v>
                </c:pt>
                <c:pt idx="1">
                  <c:v>48167</c:v>
                </c:pt>
                <c:pt idx="2">
                  <c:v>11562</c:v>
                </c:pt>
                <c:pt idx="3">
                  <c:v>40872</c:v>
                </c:pt>
              </c:numCache>
            </c:numRef>
          </c:val>
          <c:extLst>
            <c:ext xmlns:c16="http://schemas.microsoft.com/office/drawing/2014/chart" uri="{C3380CC4-5D6E-409C-BE32-E72D297353CC}">
              <c16:uniqueId val="{00000001-6AF9-4E37-A169-EA9D83F1E266}"/>
            </c:ext>
          </c:extLst>
        </c:ser>
        <c:dLbls>
          <c:dLblPos val="outEnd"/>
          <c:showLegendKey val="0"/>
          <c:showVal val="1"/>
          <c:showCatName val="0"/>
          <c:showSerName val="0"/>
          <c:showPercent val="0"/>
          <c:showBubbleSize val="0"/>
        </c:dLbls>
        <c:gapWidth val="182"/>
        <c:axId val="631597832"/>
        <c:axId val="631595672"/>
      </c:barChart>
      <c:catAx>
        <c:axId val="631597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595672"/>
        <c:crosses val="autoZero"/>
        <c:auto val="1"/>
        <c:lblAlgn val="ctr"/>
        <c:lblOffset val="100"/>
        <c:noMultiLvlLbl val="0"/>
      </c:catAx>
      <c:valAx>
        <c:axId val="631595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597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[Assignment_5_Data.xlsx]Pivot Customer Order!PivotTable37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Delays by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Customer Order'!$J$13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Customer Order'!$I$14:$I$18</c:f>
              <c:strCache>
                <c:ptCount val="4"/>
                <c:pt idx="0">
                  <c:v>Flipkart</c:v>
                </c:pt>
                <c:pt idx="1">
                  <c:v>HUL</c:v>
                </c:pt>
                <c:pt idx="2">
                  <c:v>Reliance</c:v>
                </c:pt>
                <c:pt idx="3">
                  <c:v>Tata</c:v>
                </c:pt>
              </c:strCache>
            </c:strRef>
          </c:cat>
          <c:val>
            <c:numRef>
              <c:f>'Pivot Customer Order'!$J$14:$J$18</c:f>
              <c:numCache>
                <c:formatCode>General</c:formatCode>
                <c:ptCount val="4"/>
                <c:pt idx="0">
                  <c:v>3</c:v>
                </c:pt>
                <c:pt idx="1">
                  <c:v>6</c:v>
                </c:pt>
                <c:pt idx="2">
                  <c:v>1</c:v>
                </c:pt>
                <c:pt idx="3">
                  <c:v>3</c:v>
                </c:pt>
              </c:numCache>
            </c:numRef>
          </c:val>
          <c:extLst>
            <c:ext xmlns:c16="http://schemas.microsoft.com/office/drawing/2014/chart" uri="{C3380CC4-5D6E-409C-BE32-E72D297353CC}">
              <c16:uniqueId val="{00000000-A318-4F18-908A-C717BBB31EB0}"/>
            </c:ext>
          </c:extLst>
        </c:ser>
        <c:dLbls>
          <c:dLblPos val="outEnd"/>
          <c:showLegendKey val="0"/>
          <c:showVal val="1"/>
          <c:showCatName val="0"/>
          <c:showSerName val="0"/>
          <c:showPercent val="0"/>
          <c:showBubbleSize val="0"/>
        </c:dLbls>
        <c:gapWidth val="182"/>
        <c:axId val="622752432"/>
        <c:axId val="622747392"/>
      </c:barChart>
      <c:catAx>
        <c:axId val="62275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747392"/>
        <c:crosses val="autoZero"/>
        <c:auto val="1"/>
        <c:lblAlgn val="ctr"/>
        <c:lblOffset val="100"/>
        <c:noMultiLvlLbl val="0"/>
      </c:catAx>
      <c:valAx>
        <c:axId val="622747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75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[Assignment_5_Data.xlsx]Pivot Customer Order!PivotTable39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Orders and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Customer Order'!$F$23</c:f>
              <c:strCache>
                <c:ptCount val="1"/>
                <c:pt idx="0">
                  <c:v>Sum of Order Value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Customer Order'!$E$24:$E$34</c:f>
              <c:strCache>
                <c:ptCount val="10"/>
                <c:pt idx="0">
                  <c:v>Feb</c:v>
                </c:pt>
                <c:pt idx="1">
                  <c:v>Mar</c:v>
                </c:pt>
                <c:pt idx="2">
                  <c:v>Apr</c:v>
                </c:pt>
                <c:pt idx="3">
                  <c:v>May</c:v>
                </c:pt>
                <c:pt idx="4">
                  <c:v>Jun</c:v>
                </c:pt>
                <c:pt idx="5">
                  <c:v>Jul</c:v>
                </c:pt>
                <c:pt idx="6">
                  <c:v>Aug</c:v>
                </c:pt>
                <c:pt idx="7">
                  <c:v>Sep</c:v>
                </c:pt>
                <c:pt idx="8">
                  <c:v>Oct</c:v>
                </c:pt>
                <c:pt idx="9">
                  <c:v>Nov</c:v>
                </c:pt>
              </c:strCache>
            </c:strRef>
          </c:cat>
          <c:val>
            <c:numRef>
              <c:f>'Pivot Customer Order'!$F$24:$F$34</c:f>
              <c:numCache>
                <c:formatCode>General</c:formatCode>
                <c:ptCount val="10"/>
                <c:pt idx="0">
                  <c:v>91056</c:v>
                </c:pt>
                <c:pt idx="1">
                  <c:v>14341</c:v>
                </c:pt>
                <c:pt idx="2">
                  <c:v>43861</c:v>
                </c:pt>
                <c:pt idx="3">
                  <c:v>115886</c:v>
                </c:pt>
                <c:pt idx="4">
                  <c:v>45803</c:v>
                </c:pt>
                <c:pt idx="5">
                  <c:v>140518</c:v>
                </c:pt>
                <c:pt idx="6">
                  <c:v>15431</c:v>
                </c:pt>
                <c:pt idx="7">
                  <c:v>87783</c:v>
                </c:pt>
                <c:pt idx="8">
                  <c:v>150393</c:v>
                </c:pt>
                <c:pt idx="9">
                  <c:v>80469</c:v>
                </c:pt>
              </c:numCache>
            </c:numRef>
          </c:val>
          <c:smooth val="0"/>
          <c:extLst>
            <c:ext xmlns:c16="http://schemas.microsoft.com/office/drawing/2014/chart" uri="{C3380CC4-5D6E-409C-BE32-E72D297353CC}">
              <c16:uniqueId val="{00000000-6340-4EE4-8FFA-C52747E51D58}"/>
            </c:ext>
          </c:extLst>
        </c:ser>
        <c:dLbls>
          <c:dLblPos val="t"/>
          <c:showLegendKey val="0"/>
          <c:showVal val="1"/>
          <c:showCatName val="0"/>
          <c:showSerName val="0"/>
          <c:showPercent val="0"/>
          <c:showBubbleSize val="0"/>
        </c:dLbls>
        <c:marker val="1"/>
        <c:smooth val="0"/>
        <c:axId val="622748832"/>
        <c:axId val="622746312"/>
      </c:lineChart>
      <c:lineChart>
        <c:grouping val="standard"/>
        <c:varyColors val="0"/>
        <c:ser>
          <c:idx val="1"/>
          <c:order val="1"/>
          <c:tx>
            <c:strRef>
              <c:f>'Pivot Customer Order'!$G$23</c:f>
              <c:strCache>
                <c:ptCount val="1"/>
                <c:pt idx="0">
                  <c:v>Count of Order ID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Customer Order'!$E$24:$E$34</c:f>
              <c:strCache>
                <c:ptCount val="10"/>
                <c:pt idx="0">
                  <c:v>Feb</c:v>
                </c:pt>
                <c:pt idx="1">
                  <c:v>Mar</c:v>
                </c:pt>
                <c:pt idx="2">
                  <c:v>Apr</c:v>
                </c:pt>
                <c:pt idx="3">
                  <c:v>May</c:v>
                </c:pt>
                <c:pt idx="4">
                  <c:v>Jun</c:v>
                </c:pt>
                <c:pt idx="5">
                  <c:v>Jul</c:v>
                </c:pt>
                <c:pt idx="6">
                  <c:v>Aug</c:v>
                </c:pt>
                <c:pt idx="7">
                  <c:v>Sep</c:v>
                </c:pt>
                <c:pt idx="8">
                  <c:v>Oct</c:v>
                </c:pt>
                <c:pt idx="9">
                  <c:v>Nov</c:v>
                </c:pt>
              </c:strCache>
            </c:strRef>
          </c:cat>
          <c:val>
            <c:numRef>
              <c:f>'Pivot Customer Order'!$G$24:$G$34</c:f>
              <c:numCache>
                <c:formatCode>General</c:formatCode>
                <c:ptCount val="10"/>
                <c:pt idx="0">
                  <c:v>3</c:v>
                </c:pt>
                <c:pt idx="1">
                  <c:v>1</c:v>
                </c:pt>
                <c:pt idx="2">
                  <c:v>1</c:v>
                </c:pt>
                <c:pt idx="3">
                  <c:v>5</c:v>
                </c:pt>
                <c:pt idx="4">
                  <c:v>2</c:v>
                </c:pt>
                <c:pt idx="5">
                  <c:v>4</c:v>
                </c:pt>
                <c:pt idx="6">
                  <c:v>2</c:v>
                </c:pt>
                <c:pt idx="7">
                  <c:v>3</c:v>
                </c:pt>
                <c:pt idx="8">
                  <c:v>5</c:v>
                </c:pt>
                <c:pt idx="9">
                  <c:v>4</c:v>
                </c:pt>
              </c:numCache>
            </c:numRef>
          </c:val>
          <c:smooth val="0"/>
          <c:extLst>
            <c:ext xmlns:c16="http://schemas.microsoft.com/office/drawing/2014/chart" uri="{C3380CC4-5D6E-409C-BE32-E72D297353CC}">
              <c16:uniqueId val="{00000003-6340-4EE4-8FFA-C52747E51D58}"/>
            </c:ext>
          </c:extLst>
        </c:ser>
        <c:dLbls>
          <c:showLegendKey val="0"/>
          <c:showVal val="0"/>
          <c:showCatName val="0"/>
          <c:showSerName val="0"/>
          <c:showPercent val="0"/>
          <c:showBubbleSize val="0"/>
        </c:dLbls>
        <c:marker val="1"/>
        <c:smooth val="0"/>
        <c:axId val="410098544"/>
        <c:axId val="410097464"/>
      </c:lineChart>
      <c:catAx>
        <c:axId val="62274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746312"/>
        <c:crosses val="autoZero"/>
        <c:auto val="1"/>
        <c:lblAlgn val="ctr"/>
        <c:lblOffset val="100"/>
        <c:noMultiLvlLbl val="0"/>
      </c:catAx>
      <c:valAx>
        <c:axId val="622746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748832"/>
        <c:crosses val="autoZero"/>
        <c:crossBetween val="between"/>
      </c:valAx>
      <c:valAx>
        <c:axId val="410097464"/>
        <c:scaling>
          <c:orientation val="minMax"/>
          <c:max val="10"/>
        </c:scaling>
        <c:delete val="0"/>
        <c:axPos val="r"/>
        <c:numFmt formatCode="General" sourceLinked="1"/>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098544"/>
        <c:crosses val="max"/>
        <c:crossBetween val="between"/>
      </c:valAx>
      <c:catAx>
        <c:axId val="410098544"/>
        <c:scaling>
          <c:orientation val="minMax"/>
        </c:scaling>
        <c:delete val="1"/>
        <c:axPos val="b"/>
        <c:numFmt formatCode="General" sourceLinked="1"/>
        <c:majorTickMark val="out"/>
        <c:minorTickMark val="none"/>
        <c:tickLblPos val="nextTo"/>
        <c:crossAx val="4100974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199718</xdr:colOff>
      <xdr:row>23</xdr:row>
      <xdr:rowOff>46464</xdr:rowOff>
    </xdr:from>
    <xdr:to>
      <xdr:col>11</xdr:col>
      <xdr:colOff>545945</xdr:colOff>
      <xdr:row>39</xdr:row>
      <xdr:rowOff>81310</xdr:rowOff>
    </xdr:to>
    <xdr:graphicFrame macro="">
      <xdr:nvGraphicFramePr>
        <xdr:cNvPr id="3" name="Chart 2">
          <a:extLst>
            <a:ext uri="{FF2B5EF4-FFF2-40B4-BE49-F238E27FC236}">
              <a16:creationId xmlns:a16="http://schemas.microsoft.com/office/drawing/2014/main" id="{94586A3C-FD0B-8A03-A885-5A3E409F4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199717</xdr:colOff>
      <xdr:row>4</xdr:row>
      <xdr:rowOff>57611</xdr:rowOff>
    </xdr:from>
    <xdr:to>
      <xdr:col>6</xdr:col>
      <xdr:colOff>569177</xdr:colOff>
      <xdr:row>22</xdr:row>
      <xdr:rowOff>151007</xdr:rowOff>
    </xdr:to>
    <xdr:graphicFrame macro="">
      <xdr:nvGraphicFramePr>
        <xdr:cNvPr id="4" name="Chart 3">
          <a:extLst>
            <a:ext uri="{FF2B5EF4-FFF2-40B4-BE49-F238E27FC236}">
              <a16:creationId xmlns:a16="http://schemas.microsoft.com/office/drawing/2014/main" id="{16A159FE-E828-8261-EC22-C3A96B4F7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307259</xdr:colOff>
      <xdr:row>14</xdr:row>
      <xdr:rowOff>188040</xdr:rowOff>
    </xdr:from>
    <xdr:to>
      <xdr:col>15</xdr:col>
      <xdr:colOff>737420</xdr:colOff>
      <xdr:row>22</xdr:row>
      <xdr:rowOff>107539</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D1FF789B-74F9-7C50-240A-88EAC716FA9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659033" y="2461750"/>
              <a:ext cx="2319798" cy="1501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332145</xdr:colOff>
      <xdr:row>4</xdr:row>
      <xdr:rowOff>188043</xdr:rowOff>
    </xdr:from>
    <xdr:to>
      <xdr:col>15</xdr:col>
      <xdr:colOff>691331</xdr:colOff>
      <xdr:row>14</xdr:row>
      <xdr:rowOff>30727</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0543A1AE-14BE-E1B2-8D1B-64053F340E2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683919" y="572116"/>
              <a:ext cx="2248823" cy="1763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71437</xdr:colOff>
      <xdr:row>14</xdr:row>
      <xdr:rowOff>14288</xdr:rowOff>
    </xdr:from>
    <xdr:to>
      <xdr:col>5</xdr:col>
      <xdr:colOff>809625</xdr:colOff>
      <xdr:row>26</xdr:row>
      <xdr:rowOff>152401</xdr:rowOff>
    </xdr:to>
    <xdr:graphicFrame macro="">
      <xdr:nvGraphicFramePr>
        <xdr:cNvPr id="4" name="Chart 3">
          <a:extLst>
            <a:ext uri="{FF2B5EF4-FFF2-40B4-BE49-F238E27FC236}">
              <a16:creationId xmlns:a16="http://schemas.microsoft.com/office/drawing/2014/main" id="{CA97D2A1-53D8-CC84-5B68-61FA1EB54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57148</xdr:colOff>
      <xdr:row>7</xdr:row>
      <xdr:rowOff>9525</xdr:rowOff>
    </xdr:from>
    <xdr:to>
      <xdr:col>5</xdr:col>
      <xdr:colOff>800100</xdr:colOff>
      <xdr:row>13</xdr:row>
      <xdr:rowOff>104775</xdr:rowOff>
    </xdr:to>
    <mc:AlternateContent xmlns:mc="http://schemas.openxmlformats.org/markup-compatibility/2006" xmlns:tsle="http://schemas.microsoft.com/office/drawing/2012/timeslicer">
      <mc:Choice Requires="tsle">
        <xdr:graphicFrame macro="">
          <xdr:nvGraphicFramePr>
            <xdr:cNvPr id="6" name="Join Date">
              <a:extLst>
                <a:ext uri="{FF2B5EF4-FFF2-40B4-BE49-F238E27FC236}">
                  <a16:creationId xmlns:a16="http://schemas.microsoft.com/office/drawing/2014/main" id="{DCAA034D-E8AC-7F75-0C2E-B56B3FC7F518}"/>
                </a:ext>
              </a:extLst>
            </xdr:cNvPr>
            <xdr:cNvGraphicFramePr/>
          </xdr:nvGraphicFramePr>
          <xdr:xfrm>
            <a:off x="0" y="0"/>
            <a:ext cx="0" cy="0"/>
          </xdr:xfrm>
          <a:graphic>
            <a:graphicData uri="http://schemas.microsoft.com/office/drawing/2012/timeslicer">
              <tsle:timeslicer name="Join Date"/>
            </a:graphicData>
          </a:graphic>
        </xdr:graphicFrame>
      </mc:Choice>
      <mc:Fallback xmlns="">
        <xdr:sp macro="" textlink="">
          <xdr:nvSpPr>
            <xdr:cNvPr id="0" name=""/>
            <xdr:cNvSpPr>
              <a:spLocks noTextEdit="1"/>
            </xdr:cNvSpPr>
          </xdr:nvSpPr>
          <xdr:spPr>
            <a:xfrm>
              <a:off x="1276350" y="1266825"/>
              <a:ext cx="38100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28575</xdr:colOff>
      <xdr:row>27</xdr:row>
      <xdr:rowOff>19050</xdr:rowOff>
    </xdr:from>
    <xdr:to>
      <xdr:col>5</xdr:col>
      <xdr:colOff>809625</xdr:colOff>
      <xdr:row>37</xdr:row>
      <xdr:rowOff>0</xdr:rowOff>
    </xdr:to>
    <xdr:graphicFrame macro="">
      <xdr:nvGraphicFramePr>
        <xdr:cNvPr id="5" name="Chart 4">
          <a:extLst>
            <a:ext uri="{FF2B5EF4-FFF2-40B4-BE49-F238E27FC236}">
              <a16:creationId xmlns:a16="http://schemas.microsoft.com/office/drawing/2014/main" id="{2EB9B073-5646-4C94-8B07-9BD9F81C8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47625</xdr:colOff>
      <xdr:row>5</xdr:row>
      <xdr:rowOff>47625</xdr:rowOff>
    </xdr:from>
    <xdr:to>
      <xdr:col>3</xdr:col>
      <xdr:colOff>447675</xdr:colOff>
      <xdr:row>11</xdr:row>
      <xdr:rowOff>76200</xdr:rowOff>
    </xdr:to>
    <mc:AlternateContent xmlns:mc="http://schemas.openxmlformats.org/markup-compatibility/2006" xmlns:a14="http://schemas.microsoft.com/office/drawing/2010/main">
      <mc:Choice Requires="a14">
        <xdr:graphicFrame macro="">
          <xdr:nvGraphicFramePr>
            <xdr:cNvPr id="3" name="Warehouse">
              <a:extLst>
                <a:ext uri="{FF2B5EF4-FFF2-40B4-BE49-F238E27FC236}">
                  <a16:creationId xmlns:a16="http://schemas.microsoft.com/office/drawing/2014/main" id="{1F46757B-28F1-A0F7-3B15-31DB548CCF0A}"/>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1266825" y="1000125"/>
              <a:ext cx="1438275"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19051</xdr:colOff>
      <xdr:row>27</xdr:row>
      <xdr:rowOff>76199</xdr:rowOff>
    </xdr:from>
    <xdr:to>
      <xdr:col>12</xdr:col>
      <xdr:colOff>933451</xdr:colOff>
      <xdr:row>44</xdr:row>
      <xdr:rowOff>180975</xdr:rowOff>
    </xdr:to>
    <xdr:graphicFrame macro="">
      <xdr:nvGraphicFramePr>
        <xdr:cNvPr id="5" name="Chart 4">
          <a:extLst>
            <a:ext uri="{FF2B5EF4-FFF2-40B4-BE49-F238E27FC236}">
              <a16:creationId xmlns:a16="http://schemas.microsoft.com/office/drawing/2014/main" id="{118550BC-BBA1-4D91-94D5-27189844A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171450</xdr:colOff>
      <xdr:row>5</xdr:row>
      <xdr:rowOff>38100</xdr:rowOff>
    </xdr:from>
    <xdr:to>
      <xdr:col>12</xdr:col>
      <xdr:colOff>1238250</xdr:colOff>
      <xdr:row>15</xdr:row>
      <xdr:rowOff>133350</xdr:rowOff>
    </xdr:to>
    <xdr:graphicFrame macro="">
      <xdr:nvGraphicFramePr>
        <xdr:cNvPr id="7" name="Chart 6">
          <a:extLst>
            <a:ext uri="{FF2B5EF4-FFF2-40B4-BE49-F238E27FC236}">
              <a16:creationId xmlns:a16="http://schemas.microsoft.com/office/drawing/2014/main" id="{7CE04D80-33DF-4FA2-BCEA-1B44281AC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9</xdr:row>
      <xdr:rowOff>14287</xdr:rowOff>
    </xdr:from>
    <xdr:to>
      <xdr:col>4</xdr:col>
      <xdr:colOff>619125</xdr:colOff>
      <xdr:row>23</xdr:row>
      <xdr:rowOff>90487</xdr:rowOff>
    </xdr:to>
    <xdr:graphicFrame macro="">
      <xdr:nvGraphicFramePr>
        <xdr:cNvPr id="2" name="Chart 1">
          <a:extLst>
            <a:ext uri="{FF2B5EF4-FFF2-40B4-BE49-F238E27FC236}">
              <a16:creationId xmlns:a16="http://schemas.microsoft.com/office/drawing/2014/main" id="{C899AE93-5738-9EB9-3AA6-AA0859BB5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24</xdr:row>
      <xdr:rowOff>4762</xdr:rowOff>
    </xdr:from>
    <xdr:to>
      <xdr:col>4</xdr:col>
      <xdr:colOff>638175</xdr:colOff>
      <xdr:row>38</xdr:row>
      <xdr:rowOff>80962</xdr:rowOff>
    </xdr:to>
    <xdr:graphicFrame macro="">
      <xdr:nvGraphicFramePr>
        <xdr:cNvPr id="3" name="Chart 2">
          <a:extLst>
            <a:ext uri="{FF2B5EF4-FFF2-40B4-BE49-F238E27FC236}">
              <a16:creationId xmlns:a16="http://schemas.microsoft.com/office/drawing/2014/main" id="{6B2F6063-239D-567F-4715-4DD0E46D05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590550</xdr:colOff>
      <xdr:row>25</xdr:row>
      <xdr:rowOff>38100</xdr:rowOff>
    </xdr:from>
    <xdr:to>
      <xdr:col>9</xdr:col>
      <xdr:colOff>647700</xdr:colOff>
      <xdr:row>32</xdr:row>
      <xdr:rowOff>76200</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2FF5FE4A-9E54-FC9D-020E-E14FA2EB516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353175" y="48006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38099</xdr:colOff>
      <xdr:row>22</xdr:row>
      <xdr:rowOff>42862</xdr:rowOff>
    </xdr:from>
    <xdr:to>
      <xdr:col>14</xdr:col>
      <xdr:colOff>133349</xdr:colOff>
      <xdr:row>33</xdr:row>
      <xdr:rowOff>114300</xdr:rowOff>
    </xdr:to>
    <xdr:graphicFrame macro="">
      <xdr:nvGraphicFramePr>
        <xdr:cNvPr id="2" name="Chart 1">
          <a:extLst>
            <a:ext uri="{FF2B5EF4-FFF2-40B4-BE49-F238E27FC236}">
              <a16:creationId xmlns:a16="http://schemas.microsoft.com/office/drawing/2014/main" id="{643BCE57-C18E-5F5B-331F-FBCC57B0D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419100</xdr:colOff>
      <xdr:row>6</xdr:row>
      <xdr:rowOff>185737</xdr:rowOff>
    </xdr:from>
    <xdr:to>
      <xdr:col>18</xdr:col>
      <xdr:colOff>114300</xdr:colOff>
      <xdr:row>21</xdr:row>
      <xdr:rowOff>71437</xdr:rowOff>
    </xdr:to>
    <xdr:graphicFrame macro="">
      <xdr:nvGraphicFramePr>
        <xdr:cNvPr id="3" name="Chart 2">
          <a:extLst>
            <a:ext uri="{FF2B5EF4-FFF2-40B4-BE49-F238E27FC236}">
              <a16:creationId xmlns:a16="http://schemas.microsoft.com/office/drawing/2014/main" id="{5D153055-BE70-491A-290F-ABB12D624F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180975</xdr:colOff>
      <xdr:row>2</xdr:row>
      <xdr:rowOff>19051</xdr:rowOff>
    </xdr:from>
    <xdr:to>
      <xdr:col>8</xdr:col>
      <xdr:colOff>295275</xdr:colOff>
      <xdr:row>8</xdr:row>
      <xdr:rowOff>1</xdr:rowOff>
    </xdr:to>
    <mc:AlternateContent xmlns:mc="http://schemas.openxmlformats.org/markup-compatibility/2006" xmlns:a14="http://schemas.microsoft.com/office/drawing/2010/main">
      <mc:Choice Requires="a14">
        <xdr:graphicFrame macro="">
          <xdr:nvGraphicFramePr>
            <xdr:cNvPr id="4" name="Delivery Status">
              <a:extLst>
                <a:ext uri="{FF2B5EF4-FFF2-40B4-BE49-F238E27FC236}">
                  <a16:creationId xmlns:a16="http://schemas.microsoft.com/office/drawing/2014/main" id="{5921F937-CEF5-14E7-E2E2-DC32CD063D54}"/>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6705600" y="400051"/>
              <a:ext cx="1828800" cy="1123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514350</xdr:colOff>
      <xdr:row>2</xdr:row>
      <xdr:rowOff>19051</xdr:rowOff>
    </xdr:from>
    <xdr:to>
      <xdr:col>10</xdr:col>
      <xdr:colOff>276225</xdr:colOff>
      <xdr:row>9</xdr:row>
      <xdr:rowOff>133350</xdr:rowOff>
    </xdr:to>
    <mc:AlternateContent xmlns:mc="http://schemas.openxmlformats.org/markup-compatibility/2006" xmlns:a14="http://schemas.microsoft.com/office/drawing/2010/main">
      <mc:Choice Requires="a14">
        <xdr:graphicFrame macro="">
          <xdr:nvGraphicFramePr>
            <xdr:cNvPr id="5" name="Product 1">
              <a:extLst>
                <a:ext uri="{FF2B5EF4-FFF2-40B4-BE49-F238E27FC236}">
                  <a16:creationId xmlns:a16="http://schemas.microsoft.com/office/drawing/2014/main" id="{EB39C343-BD3C-EB3C-75FC-E345B2CF974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886825" y="400051"/>
              <a:ext cx="182880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123825</xdr:colOff>
      <xdr:row>4</xdr:row>
      <xdr:rowOff>171450</xdr:rowOff>
    </xdr:from>
    <xdr:to>
      <xdr:col>9</xdr:col>
      <xdr:colOff>276225</xdr:colOff>
      <xdr:row>19</xdr:row>
      <xdr:rowOff>57150</xdr:rowOff>
    </xdr:to>
    <xdr:graphicFrame macro="">
      <xdr:nvGraphicFramePr>
        <xdr:cNvPr id="2" name="Chart 1">
          <a:extLst>
            <a:ext uri="{FF2B5EF4-FFF2-40B4-BE49-F238E27FC236}">
              <a16:creationId xmlns:a16="http://schemas.microsoft.com/office/drawing/2014/main" id="{4C8A51D8-2232-43F0-9625-3254AA029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123825</xdr:colOff>
      <xdr:row>19</xdr:row>
      <xdr:rowOff>161925</xdr:rowOff>
    </xdr:from>
    <xdr:to>
      <xdr:col>9</xdr:col>
      <xdr:colOff>304800</xdr:colOff>
      <xdr:row>34</xdr:row>
      <xdr:rowOff>47625</xdr:rowOff>
    </xdr:to>
    <xdr:graphicFrame macro="">
      <xdr:nvGraphicFramePr>
        <xdr:cNvPr id="3" name="Chart 2">
          <a:extLst>
            <a:ext uri="{FF2B5EF4-FFF2-40B4-BE49-F238E27FC236}">
              <a16:creationId xmlns:a16="http://schemas.microsoft.com/office/drawing/2014/main" id="{58563BB3-6352-4F33-AF1D-879AA411E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9524</xdr:colOff>
      <xdr:row>4</xdr:row>
      <xdr:rowOff>180975</xdr:rowOff>
    </xdr:from>
    <xdr:to>
      <xdr:col>14</xdr:col>
      <xdr:colOff>1590675</xdr:colOff>
      <xdr:row>11</xdr:row>
      <xdr:rowOff>180975</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CCFE4CEB-375F-40ED-85E1-06C3B31E6883}"/>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7724774" y="962025"/>
              <a:ext cx="5924551"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19050</xdr:colOff>
      <xdr:row>6</xdr:row>
      <xdr:rowOff>19050</xdr:rowOff>
    </xdr:from>
    <xdr:to>
      <xdr:col>9</xdr:col>
      <xdr:colOff>571500</xdr:colOff>
      <xdr:row>21</xdr:row>
      <xdr:rowOff>104775</xdr:rowOff>
    </xdr:to>
    <xdr:graphicFrame macro="">
      <xdr:nvGraphicFramePr>
        <xdr:cNvPr id="2" name="Chart 1">
          <a:extLst>
            <a:ext uri="{FF2B5EF4-FFF2-40B4-BE49-F238E27FC236}">
              <a16:creationId xmlns:a16="http://schemas.microsoft.com/office/drawing/2014/main" id="{C25929BD-D70C-448D-9E96-2FB3AC4E1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19051</xdr:colOff>
      <xdr:row>22</xdr:row>
      <xdr:rowOff>66674</xdr:rowOff>
    </xdr:from>
    <xdr:to>
      <xdr:col>9</xdr:col>
      <xdr:colOff>581025</xdr:colOff>
      <xdr:row>38</xdr:row>
      <xdr:rowOff>171450</xdr:rowOff>
    </xdr:to>
    <xdr:graphicFrame macro="">
      <xdr:nvGraphicFramePr>
        <xdr:cNvPr id="3" name="Chart 2">
          <a:extLst>
            <a:ext uri="{FF2B5EF4-FFF2-40B4-BE49-F238E27FC236}">
              <a16:creationId xmlns:a16="http://schemas.microsoft.com/office/drawing/2014/main" id="{E1D82661-1B05-4C21-B4C0-999EF6909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19050</xdr:colOff>
      <xdr:row>6</xdr:row>
      <xdr:rowOff>38099</xdr:rowOff>
    </xdr:from>
    <xdr:to>
      <xdr:col>15</xdr:col>
      <xdr:colOff>1095375</xdr:colOff>
      <xdr:row>13</xdr:row>
      <xdr:rowOff>123825</xdr:rowOff>
    </xdr:to>
    <mc:AlternateContent xmlns:mc="http://schemas.openxmlformats.org/markup-compatibility/2006" xmlns:a14="http://schemas.microsoft.com/office/drawing/2010/main">
      <mc:Choice Requires="a14">
        <xdr:graphicFrame macro="">
          <xdr:nvGraphicFramePr>
            <xdr:cNvPr id="4" name="Delivery Status 1">
              <a:extLst>
                <a:ext uri="{FF2B5EF4-FFF2-40B4-BE49-F238E27FC236}">
                  <a16:creationId xmlns:a16="http://schemas.microsoft.com/office/drawing/2014/main" id="{C759D2E0-A824-4E81-A3F9-C6919126D5FB}"/>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1315700" y="1219199"/>
              <a:ext cx="1828800" cy="1476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47625</xdr:colOff>
      <xdr:row>6</xdr:row>
      <xdr:rowOff>19050</xdr:rowOff>
    </xdr:from>
    <xdr:to>
      <xdr:col>18</xdr:col>
      <xdr:colOff>76200</xdr:colOff>
      <xdr:row>13</xdr:row>
      <xdr:rowOff>123825</xdr:rowOff>
    </xdr:to>
    <mc:AlternateContent xmlns:mc="http://schemas.openxmlformats.org/markup-compatibility/2006" xmlns:a14="http://schemas.microsoft.com/office/drawing/2010/main">
      <mc:Choice Requires="a14">
        <xdr:graphicFrame macro="">
          <xdr:nvGraphicFramePr>
            <xdr:cNvPr id="5" name="Product 2">
              <a:extLst>
                <a:ext uri="{FF2B5EF4-FFF2-40B4-BE49-F238E27FC236}">
                  <a16:creationId xmlns:a16="http://schemas.microsoft.com/office/drawing/2014/main" id="{B708467E-5C5A-461B-8929-4415D8BD6CF5}"/>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3211175" y="1200150"/>
              <a:ext cx="1752600"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1.575825347223" createdVersion="8" refreshedVersion="8" minRefreshableVersion="3" recordCount="30" xr:uid="{D164D038-622E-4BE5-A030-7994C31073DF}">
  <cacheSource type="worksheet">
    <worksheetSource ref="A1:H31" sheet="Raw-Sales Analysis Data"/>
  </cacheSource>
  <cacheFields count="10">
    <cacheField name="Date" numFmtId="164">
      <sharedItems containsSemiMixedTypes="0" containsNonDate="0" containsDate="1" containsString="0" minDate="2023-01-26T00:00:00" maxDate="2023-12-23T00:00:00" count="27">
        <d v="2023-04-03T00:00:00"/>
        <d v="2023-07-02T00:00:00"/>
        <d v="2023-12-07T00:00:00"/>
        <d v="2023-03-13T00:00:00"/>
        <d v="2023-08-11T00:00:00"/>
        <d v="2023-11-19T00:00:00"/>
        <d v="2023-04-08T00:00:00"/>
        <d v="2023-03-23T00:00:00"/>
        <d v="2023-08-01T00:00:00"/>
        <d v="2023-06-29T00:00:00"/>
        <d v="2023-02-12T00:00:00"/>
        <d v="2023-08-17T00:00:00"/>
        <d v="2023-07-09T00:00:00"/>
        <d v="2023-01-28T00:00:00"/>
        <d v="2023-02-15T00:00:00"/>
        <d v="2023-05-03T00:00:00"/>
        <d v="2023-10-03T00:00:00"/>
        <d v="2023-09-01T00:00:00"/>
        <d v="2023-04-01T00:00:00"/>
        <d v="2023-09-08T00:00:00"/>
        <d v="2023-04-30T00:00:00"/>
        <d v="2023-01-26T00:00:00"/>
        <d v="2023-02-06T00:00:00"/>
        <d v="2023-09-09T00:00:00"/>
        <d v="2023-02-13T00:00:00"/>
        <d v="2023-12-22T00:00:00"/>
        <d v="2023-11-17T00:00:00"/>
      </sharedItems>
      <fieldGroup par="9"/>
    </cacheField>
    <cacheField name="Region" numFmtId="0">
      <sharedItems count="4">
        <s v="West"/>
        <s v="South"/>
        <s v="North"/>
        <s v="East"/>
      </sharedItems>
    </cacheField>
    <cacheField name="Salesperson" numFmtId="0">
      <sharedItems count="5">
        <s v="Bob"/>
        <s v="Alice"/>
        <s v="Eva"/>
        <s v="David"/>
        <s v="Charlie"/>
      </sharedItems>
    </cacheField>
    <cacheField name="Product" numFmtId="0">
      <sharedItems count="5">
        <s v="Tablet"/>
        <s v="Phone"/>
        <s v="Keyboard"/>
        <s v="Laptop"/>
        <s v="Monitor"/>
      </sharedItems>
    </cacheField>
    <cacheField name="Units Sold" numFmtId="0">
      <sharedItems containsSemiMixedTypes="0" containsString="0" containsNumber="1" containsInteger="1" minValue="1" maxValue="20"/>
    </cacheField>
    <cacheField name="Unit Price" numFmtId="0">
      <sharedItems containsSemiMixedTypes="0" containsString="0" containsNumber="1" containsInteger="1" minValue="164" maxValue="995"/>
    </cacheField>
    <cacheField name="Revenue" numFmtId="0">
      <sharedItems containsSemiMixedTypes="0" containsString="0" containsNumber="1" containsInteger="1" minValue="970" maxValue="19500"/>
    </cacheField>
    <cacheField name="Profit" numFmtId="0">
      <sharedItems containsSemiMixedTypes="0" containsString="0" containsNumber="1" minValue="194" maxValue="3900"/>
    </cacheField>
    <cacheField name="Days (Date)" numFmtId="0" databaseField="0">
      <fieldGroup base="0">
        <rangePr groupBy="days" startDate="2023-01-26T00:00:00" endDate="2023-12-23T00:00:00"/>
        <groupItems count="368">
          <s v="&lt;26-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12-2023"/>
        </groupItems>
      </fieldGroup>
    </cacheField>
    <cacheField name="Months (Date)" numFmtId="0" databaseField="0">
      <fieldGroup base="0">
        <rangePr groupBy="months" startDate="2023-01-26T00:00:00" endDate="2023-12-23T00:00:00"/>
        <groupItems count="14">
          <s v="&lt;26-01-2023"/>
          <s v="Jan"/>
          <s v="Feb"/>
          <s v="Mar"/>
          <s v="Apr"/>
          <s v="May"/>
          <s v="Jun"/>
          <s v="Jul"/>
          <s v="Aug"/>
          <s v="Sep"/>
          <s v="Oct"/>
          <s v="Nov"/>
          <s v="Dec"/>
          <s v="&gt;23-12-2023"/>
        </groupItems>
      </fieldGroup>
    </cacheField>
  </cacheFields>
  <extLst>
    <ext xmlns:x14="http://schemas.microsoft.com/office/spreadsheetml/2009/9/main" uri="{725AE2AE-9491-48be-B2B4-4EB974FC3084}">
      <x14:pivotCacheDefinition pivotCacheId="1716180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1.608038888888" createdVersion="8" refreshedVersion="8" minRefreshableVersion="3" recordCount="30" xr:uid="{6E733FD0-1206-4561-8EFB-C980DA28B28C}">
  <cacheSource type="worksheet">
    <worksheetSource ref="A1:H31" sheet="Raw-HR Attrition Data"/>
  </cacheSource>
  <cacheFields count="11">
    <cacheField name="Employee ID" numFmtId="0">
      <sharedItems/>
    </cacheField>
    <cacheField name="Department" numFmtId="0">
      <sharedItems count="5">
        <s v="HR"/>
        <s v="IT"/>
        <s v="Finance"/>
        <s v="Sales"/>
        <s v="Support"/>
      </sharedItems>
    </cacheField>
    <cacheField name="Gender" numFmtId="0">
      <sharedItems count="2">
        <s v="Female"/>
        <s v="Male"/>
      </sharedItems>
    </cacheField>
    <cacheField name="Age" numFmtId="0">
      <sharedItems containsSemiMixedTypes="0" containsString="0" containsNumber="1" containsInteger="1" minValue="22" maxValue="49"/>
    </cacheField>
    <cacheField name="Join Date" numFmtId="164">
      <sharedItems containsSemiMixedTypes="0" containsNonDate="0" containsDate="1" containsString="0" minDate="2020-01-22T00:00:00" maxDate="2023-12-20T00:00:00" count="30">
        <d v="2023-01-30T00:00:00"/>
        <d v="2023-02-04T00:00:00"/>
        <d v="2021-12-04T00:00:00"/>
        <d v="2021-05-04T00:00:00"/>
        <d v="2022-03-28T00:00:00"/>
        <d v="2023-03-15T00:00:00"/>
        <d v="2023-03-18T00:00:00"/>
        <d v="2020-02-06T00:00:00"/>
        <d v="2021-07-18T00:00:00"/>
        <d v="2020-11-25T00:00:00"/>
        <d v="2023-12-19T00:00:00"/>
        <d v="2023-02-03T00:00:00"/>
        <d v="2021-01-31T00:00:00"/>
        <d v="2023-07-12T00:00:00"/>
        <d v="2021-04-13T00:00:00"/>
        <d v="2020-02-21T00:00:00"/>
        <d v="2022-08-03T00:00:00"/>
        <d v="2021-08-28T00:00:00"/>
        <d v="2020-01-22T00:00:00"/>
        <d v="2020-10-25T00:00:00"/>
        <d v="2022-03-04T00:00:00"/>
        <d v="2021-09-25T00:00:00"/>
        <d v="2022-12-03T00:00:00"/>
        <d v="2020-02-23T00:00:00"/>
        <d v="2023-10-09T00:00:00"/>
        <d v="2023-08-09T00:00:00"/>
        <d v="2022-02-09T00:00:00"/>
        <d v="2023-09-10T00:00:00"/>
        <d v="2022-06-27T00:00:00"/>
        <d v="2023-10-11T00:00:00"/>
      </sharedItems>
    </cacheField>
    <cacheField name="Exit Date" numFmtId="0">
      <sharedItems containsNonDate="0" containsDate="1" containsString="0" containsBlank="1" minDate="2021-05-02T00:00:00" maxDate="2026-02-02T00:00:00" count="21">
        <d v="2024-05-30T00:00:00"/>
        <d v="2024-11-29T00:00:00"/>
        <m/>
        <d v="2023-09-07T00:00:00"/>
        <d v="2024-11-18T00:00:00"/>
        <d v="2025-01-11T00:00:00"/>
        <d v="2023-04-26T00:00:00"/>
        <d v="2021-11-20T00:00:00"/>
        <d v="2025-08-18T00:00:00"/>
        <d v="2024-07-18T00:00:00"/>
        <d v="2021-05-02T00:00:00"/>
        <d v="2021-10-08T00:00:00"/>
        <d v="2023-01-23T00:00:00"/>
        <d v="2022-01-02T00:00:00"/>
        <d v="2021-12-15T00:00:00"/>
        <d v="2023-12-04T00:00:00"/>
        <d v="2024-06-06T00:00:00"/>
        <d v="2024-03-15T00:00:00"/>
        <d v="2025-03-02T00:00:00"/>
        <d v="2023-12-29T00:00:00"/>
        <d v="2026-02-01T00:00:00"/>
      </sharedItems>
      <fieldGroup par="10"/>
    </cacheField>
    <cacheField name="Status" numFmtId="0">
      <sharedItems count="2">
        <s v="Resigned"/>
        <s v="Active"/>
      </sharedItems>
    </cacheField>
    <cacheField name="Salary" numFmtId="0">
      <sharedItems containsSemiMixedTypes="0" containsString="0" containsNumber="1" containsInteger="1" minValue="30083" maxValue="107731"/>
    </cacheField>
    <cacheField name="Months (Exit Date)" numFmtId="0" databaseField="0">
      <fieldGroup base="5">
        <rangePr groupBy="months" startDate="2021-05-02T00:00:00" endDate="2026-02-02T00:00:00"/>
        <groupItems count="14">
          <s v="&lt;02-05-2021"/>
          <s v="Jan"/>
          <s v="Feb"/>
          <s v="Mar"/>
          <s v="Apr"/>
          <s v="May"/>
          <s v="Jun"/>
          <s v="Jul"/>
          <s v="Aug"/>
          <s v="Sep"/>
          <s v="Oct"/>
          <s v="Nov"/>
          <s v="Dec"/>
          <s v="&gt;02-02-2026"/>
        </groupItems>
      </fieldGroup>
    </cacheField>
    <cacheField name="Quarters (Exit Date)" numFmtId="0" databaseField="0">
      <fieldGroup base="5">
        <rangePr groupBy="quarters" startDate="2021-05-02T00:00:00" endDate="2026-02-02T00:00:00"/>
        <groupItems count="6">
          <s v="&lt;02-05-2021"/>
          <s v="Qtr1"/>
          <s v="Qtr2"/>
          <s v="Qtr3"/>
          <s v="Qtr4"/>
          <s v="&gt;02-02-2026"/>
        </groupItems>
      </fieldGroup>
    </cacheField>
    <cacheField name="Years (Exit Date)" numFmtId="0" databaseField="0">
      <fieldGroup base="5">
        <rangePr groupBy="years" startDate="2021-05-02T00:00:00" endDate="2026-02-02T00:00:00"/>
        <groupItems count="8">
          <s v="&lt;02-05-2021"/>
          <s v="2021"/>
          <s v="2022"/>
          <s v="2023"/>
          <s v="2024"/>
          <s v="2025"/>
          <s v="2026"/>
          <s v="&gt;02-02-2026"/>
        </groupItems>
      </fieldGroup>
    </cacheField>
  </cacheFields>
  <extLst>
    <ext xmlns:x14="http://schemas.microsoft.com/office/spreadsheetml/2009/9/main" uri="{725AE2AE-9491-48be-B2B4-4EB974FC3084}">
      <x14:pivotCacheDefinition pivotCacheId="143859452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1.645830208334" createdVersion="8" refreshedVersion="8" minRefreshableVersion="3" recordCount="30" xr:uid="{BBF04157-F221-4FB0-ADB2-62B5706BC218}">
  <cacheSource type="worksheet">
    <worksheetSource ref="A1:I31" sheet="Raw-Inventory Data"/>
  </cacheSource>
  <cacheFields count="11">
    <cacheField name="Product ID" numFmtId="0">
      <sharedItems count="30">
        <s v="P100"/>
        <s v="P101"/>
        <s v="P102"/>
        <s v="P103"/>
        <s v="P104"/>
        <s v="P105"/>
        <s v="P106"/>
        <s v="P107"/>
        <s v="P108"/>
        <s v="P109"/>
        <s v="P110"/>
        <s v="P111"/>
        <s v="P112"/>
        <s v="P113"/>
        <s v="P114"/>
        <s v="P115"/>
        <s v="P116"/>
        <s v="P117"/>
        <s v="P118"/>
        <s v="P119"/>
        <s v="P120"/>
        <s v="P121"/>
        <s v="P122"/>
        <s v="P123"/>
        <s v="P124"/>
        <s v="P125"/>
        <s v="P126"/>
        <s v="P127"/>
        <s v="P128"/>
        <s v="P129"/>
      </sharedItems>
    </cacheField>
    <cacheField name="Product Category" numFmtId="0">
      <sharedItems count="3">
        <s v="Electronics"/>
        <s v="Furniture"/>
        <s v="Stationery"/>
      </sharedItems>
    </cacheField>
    <cacheField name="Warehouse" numFmtId="0">
      <sharedItems count="3">
        <s v="W1"/>
        <s v="W2"/>
        <s v="W3"/>
      </sharedItems>
    </cacheField>
    <cacheField name="Opening Stock" numFmtId="0">
      <sharedItems containsSemiMixedTypes="0" containsString="0" containsNumber="1" containsInteger="1" minValue="54" maxValue="196"/>
    </cacheField>
    <cacheField name="Quantity Sold" numFmtId="0">
      <sharedItems containsSemiMixedTypes="0" containsString="0" containsNumber="1" containsInteger="1" minValue="10" maxValue="80"/>
    </cacheField>
    <cacheField name="Quantity Purchased" numFmtId="0">
      <sharedItems containsSemiMixedTypes="0" containsString="0" containsNumber="1" containsInteger="1" minValue="21" maxValue="91"/>
    </cacheField>
    <cacheField name="Date" numFmtId="164">
      <sharedItems containsSemiMixedTypes="0" containsNonDate="0" containsDate="1" containsString="0" minDate="2023-01-11T00:00:00" maxDate="2023-12-27T00:00:00" count="30">
        <d v="2023-08-17T00:00:00"/>
        <d v="2023-09-20T00:00:00"/>
        <d v="2023-02-26T00:00:00"/>
        <d v="2023-10-15T00:00:00"/>
        <d v="2023-12-18T00:00:00"/>
        <d v="2023-12-09T00:00:00"/>
        <d v="2023-09-22T00:00:00"/>
        <d v="2023-10-25T00:00:00"/>
        <d v="2023-06-17T00:00:00"/>
        <d v="2023-02-15T00:00:00"/>
        <d v="2023-01-21T00:00:00"/>
        <d v="2023-01-15T00:00:00"/>
        <d v="2023-04-25T00:00:00"/>
        <d v="2023-08-15T00:00:00"/>
        <d v="2023-04-10T00:00:00"/>
        <d v="2023-10-31T00:00:00"/>
        <d v="2023-02-21T00:00:00"/>
        <d v="2023-03-18T00:00:00"/>
        <d v="2023-03-19T00:00:00"/>
        <d v="2023-08-28T00:00:00"/>
        <d v="2023-05-06T00:00:00"/>
        <d v="2023-11-17T00:00:00"/>
        <d v="2023-06-23T00:00:00"/>
        <d v="2023-12-26T00:00:00"/>
        <d v="2023-03-02T00:00:00"/>
        <d v="2023-07-16T00:00:00"/>
        <d v="2023-01-11T00:00:00"/>
        <d v="2023-12-01T00:00:00"/>
        <d v="2023-08-09T00:00:00"/>
        <d v="2023-01-18T00:00:00"/>
      </sharedItems>
      <fieldGroup par="10"/>
    </cacheField>
    <cacheField name="Closing Stock" numFmtId="0">
      <sharedItems containsSemiMixedTypes="0" containsString="0" containsNumber="1" containsInteger="1" minValue="0" maxValue="239"/>
    </cacheField>
    <cacheField name="Total" numFmtId="0">
      <sharedItems containsSemiMixedTypes="0" containsString="0" containsNumber="1" containsInteger="1" minValue="4" maxValue="54"/>
    </cacheField>
    <cacheField name="Days (Date)" numFmtId="0" databaseField="0">
      <fieldGroup base="6">
        <rangePr groupBy="days" startDate="2023-01-11T00:00:00" endDate="2023-12-27T00:00:00"/>
        <groupItems count="368">
          <s v="&lt;1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12-2023"/>
        </groupItems>
      </fieldGroup>
    </cacheField>
    <cacheField name="Months (Date)" numFmtId="0" databaseField="0">
      <fieldGroup base="6">
        <rangePr groupBy="months" startDate="2023-01-11T00:00:00" endDate="2023-12-27T00:00:00"/>
        <groupItems count="14">
          <s v="&lt;11-01-2023"/>
          <s v="Jan"/>
          <s v="Feb"/>
          <s v="Mar"/>
          <s v="Apr"/>
          <s v="May"/>
          <s v="Jun"/>
          <s v="Jul"/>
          <s v="Aug"/>
          <s v="Sep"/>
          <s v="Oct"/>
          <s v="Nov"/>
          <s v="Dec"/>
          <s v="&gt;27-12-2023"/>
        </groupItems>
      </fieldGroup>
    </cacheField>
  </cacheFields>
  <extLst>
    <ext xmlns:x14="http://schemas.microsoft.com/office/spreadsheetml/2009/9/main" uri="{725AE2AE-9491-48be-B2B4-4EB974FC3084}">
      <x14:pivotCacheDefinition pivotCacheId="116642415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1.773666319445" createdVersion="8" refreshedVersion="8" minRefreshableVersion="3" recordCount="30" xr:uid="{C038164A-637F-4203-B51C-D61FD1CF185C}">
  <cacheSource type="worksheet">
    <worksheetSource ref="A1:F31" sheet="Raw-Expense Tracking Data"/>
  </cacheSource>
  <cacheFields count="8">
    <cacheField name="Department" numFmtId="0">
      <sharedItems count="4">
        <s v="IT"/>
        <s v="Admin"/>
        <s v="Operations"/>
        <s v="Marketing"/>
      </sharedItems>
    </cacheField>
    <cacheField name="Expense Category" numFmtId="0">
      <sharedItems count="4">
        <s v="Consulting"/>
        <s v="Travel"/>
        <s v="Supplies"/>
        <s v="Software"/>
      </sharedItems>
    </cacheField>
    <cacheField name="Expense Amount" numFmtId="0">
      <sharedItems containsSemiMixedTypes="0" containsString="0" containsNumber="1" containsInteger="1" minValue="1399" maxValue="9223"/>
    </cacheField>
    <cacheField name="Budget" numFmtId="0">
      <sharedItems containsSemiMixedTypes="0" containsString="0" containsNumber="1" containsInteger="1" minValue="5074" maxValue="14543"/>
    </cacheField>
    <cacheField name="Date" numFmtId="164">
      <sharedItems containsSemiMixedTypes="0" containsNonDate="0" containsDate="1" containsString="0" minDate="2023-01-15T00:00:00" maxDate="2023-12-21T00:00:00" count="29">
        <d v="2023-06-14T00:00:00"/>
        <d v="2023-07-04T00:00:00"/>
        <d v="2023-07-18T00:00:00"/>
        <d v="2023-12-20T00:00:00"/>
        <d v="2023-04-06T00:00:00"/>
        <d v="2023-04-18T00:00:00"/>
        <d v="2023-06-28T00:00:00"/>
        <d v="2023-11-30T00:00:00"/>
        <d v="2023-09-07T00:00:00"/>
        <d v="2023-01-15T00:00:00"/>
        <d v="2023-09-22T00:00:00"/>
        <d v="2023-08-02T00:00:00"/>
        <d v="2023-02-23T00:00:00"/>
        <d v="2023-08-14T00:00:00"/>
        <d v="2023-09-14T00:00:00"/>
        <d v="2023-11-03T00:00:00"/>
        <d v="2023-07-21T00:00:00"/>
        <d v="2023-10-11T00:00:00"/>
        <d v="2023-04-25T00:00:00"/>
        <d v="2023-07-23T00:00:00"/>
        <d v="2023-08-20T00:00:00"/>
        <d v="2023-05-20T00:00:00"/>
        <d v="2023-09-08T00:00:00"/>
        <d v="2023-03-18T00:00:00"/>
        <d v="2023-05-17T00:00:00"/>
        <d v="2023-11-29T00:00:00"/>
        <d v="2023-07-11T00:00:00"/>
        <d v="2023-12-17T00:00:00"/>
        <d v="2023-07-13T00:00:00"/>
      </sharedItems>
      <fieldGroup par="7"/>
    </cacheField>
    <cacheField name="Project Name" numFmtId="0">
      <sharedItems count="4">
        <s v="Delta"/>
        <s v="Alpha"/>
        <s v="Gamma"/>
        <s v="Beta"/>
      </sharedItems>
    </cacheField>
    <cacheField name="Days (Date)" numFmtId="0" databaseField="0">
      <fieldGroup base="4">
        <rangePr groupBy="days" startDate="2023-01-15T00:00:00" endDate="2023-12-21T00:00:00"/>
        <groupItems count="368">
          <s v="&lt;15-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12-2023"/>
        </groupItems>
      </fieldGroup>
    </cacheField>
    <cacheField name="Months (Date)" numFmtId="0" databaseField="0">
      <fieldGroup base="4">
        <rangePr groupBy="months" startDate="2023-01-15T00:00:00" endDate="2023-12-21T00:00:00"/>
        <groupItems count="14">
          <s v="&lt;15-01-2023"/>
          <s v="Jan"/>
          <s v="Feb"/>
          <s v="Mar"/>
          <s v="Apr"/>
          <s v="May"/>
          <s v="Jun"/>
          <s v="Jul"/>
          <s v="Aug"/>
          <s v="Sep"/>
          <s v="Oct"/>
          <s v="Nov"/>
          <s v="Dec"/>
          <s v="&gt;21-12-2023"/>
        </groupItems>
      </fieldGroup>
    </cacheField>
  </cacheFields>
  <extLst>
    <ext xmlns:x14="http://schemas.microsoft.com/office/spreadsheetml/2009/9/main" uri="{725AE2AE-9491-48be-B2B4-4EB974FC3084}">
      <x14:pivotCacheDefinition pivotCacheId="1317670019"/>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1.78064571759" createdVersion="8" refreshedVersion="8" minRefreshableVersion="3" recordCount="30" xr:uid="{99C342B6-B0FD-4294-9475-0928A18BFCE1}">
  <cacheSource type="worksheet">
    <worksheetSource ref="A1:H31" sheet="Raw-Customer Orders Data"/>
  </cacheSource>
  <cacheFields count="10">
    <cacheField name="Order ID" numFmtId="0">
      <sharedItems/>
    </cacheField>
    <cacheField name="Customer Name" numFmtId="0">
      <sharedItems count="5">
        <s v="Adani"/>
        <s v="Tata"/>
        <s v="HUL"/>
        <s v="Reliance"/>
        <s v="Flipkart"/>
      </sharedItems>
    </cacheField>
    <cacheField name="Order Date" numFmtId="164">
      <sharedItems containsSemiMixedTypes="0" containsNonDate="0" containsDate="1" containsString="0" minDate="2023-02-01T00:00:00" maxDate="2023-11-24T00:00:00" count="30">
        <d v="2023-05-03T00:00:00"/>
        <d v="2023-05-19T00:00:00"/>
        <d v="2023-02-20T00:00:00"/>
        <d v="2023-10-01T00:00:00"/>
        <d v="2023-10-24T00:00:00"/>
        <d v="2023-11-08T00:00:00"/>
        <d v="2023-07-04T00:00:00"/>
        <d v="2023-08-05T00:00:00"/>
        <d v="2023-07-18T00:00:00"/>
        <d v="2023-09-30T00:00:00"/>
        <d v="2023-05-22T00:00:00"/>
        <d v="2023-10-08T00:00:00"/>
        <d v="2023-07-23T00:00:00"/>
        <d v="2023-09-13T00:00:00"/>
        <d v="2023-10-19T00:00:00"/>
        <d v="2023-03-21T00:00:00"/>
        <d v="2023-07-28T00:00:00"/>
        <d v="2023-02-01T00:00:00"/>
        <d v="2023-09-27T00:00:00"/>
        <d v="2023-11-23T00:00:00"/>
        <d v="2023-06-13T00:00:00"/>
        <d v="2023-04-23T00:00:00"/>
        <d v="2023-08-03T00:00:00"/>
        <d v="2023-05-25T00:00:00"/>
        <d v="2023-05-04T00:00:00"/>
        <d v="2023-10-12T00:00:00"/>
        <d v="2023-06-04T00:00:00"/>
        <d v="2023-02-25T00:00:00"/>
        <d v="2023-11-06T00:00:00"/>
        <d v="2023-11-20T00:00:00"/>
      </sharedItems>
      <fieldGroup par="9"/>
    </cacheField>
    <cacheField name="Delivery Date" numFmtId="164">
      <sharedItems containsSemiMixedTypes="0" containsNonDate="0" containsDate="1" containsString="0" minDate="2023-02-02T00:00:00" maxDate="2023-12-02T00:00:00"/>
    </cacheField>
    <cacheField name="Product" numFmtId="0">
      <sharedItems count="4">
        <s v="Switch"/>
        <s v="Access Point"/>
        <s v="Router"/>
        <s v="Modem"/>
      </sharedItems>
    </cacheField>
    <cacheField name="Order Value" numFmtId="0">
      <sharedItems containsSemiMixedTypes="0" containsString="0" containsNumber="1" containsInteger="1" minValue="5730" maxValue="48063"/>
    </cacheField>
    <cacheField name="Delivery Status" numFmtId="0">
      <sharedItems count="2">
        <s v="On Time"/>
        <s v="Delayed"/>
      </sharedItems>
    </cacheField>
    <cacheField name="Delivery Duration (Days)" numFmtId="0">
      <sharedItems containsSemiMixedTypes="0" containsString="0" containsNumber="1" containsInteger="1" minValue="1" maxValue="10"/>
    </cacheField>
    <cacheField name="Days (Order Date)" numFmtId="0" databaseField="0">
      <fieldGroup base="2">
        <rangePr groupBy="days" startDate="2023-02-01T00:00:00" endDate="2023-11-24T00:00:00"/>
        <groupItems count="368">
          <s v="&lt;01-02-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4-11-2023"/>
        </groupItems>
      </fieldGroup>
    </cacheField>
    <cacheField name="Months (Order Date)" numFmtId="0" databaseField="0">
      <fieldGroup base="2">
        <rangePr groupBy="months" startDate="2023-02-01T00:00:00" endDate="2023-11-24T00:00:00"/>
        <groupItems count="14">
          <s v="&lt;01-02-2023"/>
          <s v="Jan"/>
          <s v="Feb"/>
          <s v="Mar"/>
          <s v="Apr"/>
          <s v="May"/>
          <s v="Jun"/>
          <s v="Jul"/>
          <s v="Aug"/>
          <s v="Sep"/>
          <s v="Oct"/>
          <s v="Nov"/>
          <s v="Dec"/>
          <s v="&gt;24-11-2023"/>
        </groupItems>
      </fieldGroup>
    </cacheField>
  </cacheFields>
  <extLst>
    <ext xmlns:x14="http://schemas.microsoft.com/office/spreadsheetml/2009/9/main" uri="{725AE2AE-9491-48be-B2B4-4EB974FC3084}">
      <x14:pivotCacheDefinition pivotCacheId="9126327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n v="12"/>
    <n v="809"/>
    <n v="9708"/>
    <n v="1941.6"/>
  </r>
  <r>
    <x v="1"/>
    <x v="0"/>
    <x v="1"/>
    <x v="0"/>
    <n v="10"/>
    <n v="418"/>
    <n v="4180"/>
    <n v="836"/>
  </r>
  <r>
    <x v="2"/>
    <x v="1"/>
    <x v="2"/>
    <x v="1"/>
    <n v="12"/>
    <n v="528"/>
    <n v="6336"/>
    <n v="1267.2"/>
  </r>
  <r>
    <x v="3"/>
    <x v="2"/>
    <x v="3"/>
    <x v="2"/>
    <n v="10"/>
    <n v="761"/>
    <n v="7610"/>
    <n v="1522"/>
  </r>
  <r>
    <x v="4"/>
    <x v="1"/>
    <x v="2"/>
    <x v="1"/>
    <n v="20"/>
    <n v="216"/>
    <n v="4320"/>
    <n v="864"/>
  </r>
  <r>
    <x v="5"/>
    <x v="1"/>
    <x v="2"/>
    <x v="3"/>
    <n v="20"/>
    <n v="975"/>
    <n v="19500"/>
    <n v="3900"/>
  </r>
  <r>
    <x v="6"/>
    <x v="2"/>
    <x v="1"/>
    <x v="0"/>
    <n v="14"/>
    <n v="779"/>
    <n v="10906"/>
    <n v="2181.1999999999998"/>
  </r>
  <r>
    <x v="0"/>
    <x v="0"/>
    <x v="0"/>
    <x v="1"/>
    <n v="17"/>
    <n v="637"/>
    <n v="10829"/>
    <n v="2165.8000000000002"/>
  </r>
  <r>
    <x v="7"/>
    <x v="2"/>
    <x v="2"/>
    <x v="3"/>
    <n v="19"/>
    <n v="877"/>
    <n v="16663"/>
    <n v="3332.6"/>
  </r>
  <r>
    <x v="8"/>
    <x v="3"/>
    <x v="1"/>
    <x v="0"/>
    <n v="6"/>
    <n v="579"/>
    <n v="3474"/>
    <n v="694.80000000000007"/>
  </r>
  <r>
    <x v="9"/>
    <x v="2"/>
    <x v="3"/>
    <x v="3"/>
    <n v="4"/>
    <n v="945"/>
    <n v="3780"/>
    <n v="756"/>
  </r>
  <r>
    <x v="10"/>
    <x v="0"/>
    <x v="1"/>
    <x v="3"/>
    <n v="7"/>
    <n v="312"/>
    <n v="2184"/>
    <n v="436.8"/>
  </r>
  <r>
    <x v="11"/>
    <x v="3"/>
    <x v="4"/>
    <x v="1"/>
    <n v="20"/>
    <n v="541"/>
    <n v="10820"/>
    <n v="2164"/>
  </r>
  <r>
    <x v="12"/>
    <x v="3"/>
    <x v="0"/>
    <x v="4"/>
    <n v="20"/>
    <n v="566"/>
    <n v="11320"/>
    <n v="2264"/>
  </r>
  <r>
    <x v="13"/>
    <x v="2"/>
    <x v="0"/>
    <x v="4"/>
    <n v="1"/>
    <n v="995"/>
    <n v="995"/>
    <n v="199"/>
  </r>
  <r>
    <x v="14"/>
    <x v="1"/>
    <x v="0"/>
    <x v="4"/>
    <n v="20"/>
    <n v="877"/>
    <n v="17540"/>
    <n v="3508"/>
  </r>
  <r>
    <x v="15"/>
    <x v="2"/>
    <x v="1"/>
    <x v="0"/>
    <n v="4"/>
    <n v="545"/>
    <n v="2180"/>
    <n v="436"/>
  </r>
  <r>
    <x v="12"/>
    <x v="3"/>
    <x v="4"/>
    <x v="3"/>
    <n v="1"/>
    <n v="970"/>
    <n v="970"/>
    <n v="194"/>
  </r>
  <r>
    <x v="16"/>
    <x v="0"/>
    <x v="3"/>
    <x v="2"/>
    <n v="10"/>
    <n v="267"/>
    <n v="2670"/>
    <n v="534"/>
  </r>
  <r>
    <x v="17"/>
    <x v="2"/>
    <x v="2"/>
    <x v="4"/>
    <n v="17"/>
    <n v="318"/>
    <n v="5406"/>
    <n v="1081.2"/>
  </r>
  <r>
    <x v="18"/>
    <x v="0"/>
    <x v="3"/>
    <x v="0"/>
    <n v="7"/>
    <n v="164"/>
    <n v="1148"/>
    <n v="229.6"/>
  </r>
  <r>
    <x v="19"/>
    <x v="1"/>
    <x v="1"/>
    <x v="4"/>
    <n v="16"/>
    <n v="617"/>
    <n v="9872"/>
    <n v="1974.4"/>
  </r>
  <r>
    <x v="20"/>
    <x v="1"/>
    <x v="2"/>
    <x v="0"/>
    <n v="13"/>
    <n v="281"/>
    <n v="3653"/>
    <n v="730.6"/>
  </r>
  <r>
    <x v="21"/>
    <x v="1"/>
    <x v="2"/>
    <x v="4"/>
    <n v="13"/>
    <n v="895"/>
    <n v="11635"/>
    <n v="2327"/>
  </r>
  <r>
    <x v="22"/>
    <x v="3"/>
    <x v="2"/>
    <x v="0"/>
    <n v="10"/>
    <n v="457"/>
    <n v="4570"/>
    <n v="914"/>
  </r>
  <r>
    <x v="23"/>
    <x v="1"/>
    <x v="0"/>
    <x v="2"/>
    <n v="8"/>
    <n v="945"/>
    <n v="7560"/>
    <n v="1512"/>
  </r>
  <r>
    <x v="24"/>
    <x v="1"/>
    <x v="2"/>
    <x v="3"/>
    <n v="9"/>
    <n v="873"/>
    <n v="7857"/>
    <n v="1571.4"/>
  </r>
  <r>
    <x v="25"/>
    <x v="3"/>
    <x v="2"/>
    <x v="0"/>
    <n v="17"/>
    <n v="828"/>
    <n v="14076"/>
    <n v="2815.2"/>
  </r>
  <r>
    <x v="26"/>
    <x v="2"/>
    <x v="2"/>
    <x v="3"/>
    <n v="16"/>
    <n v="515"/>
    <n v="8240"/>
    <n v="1648"/>
  </r>
  <r>
    <x v="19"/>
    <x v="1"/>
    <x v="2"/>
    <x v="1"/>
    <n v="2"/>
    <n v="918"/>
    <n v="1836"/>
    <n v="367.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E1000"/>
    <x v="0"/>
    <x v="0"/>
    <n v="48"/>
    <x v="0"/>
    <x v="0"/>
    <x v="0"/>
    <n v="57360"/>
  </r>
  <r>
    <s v="E1001"/>
    <x v="1"/>
    <x v="0"/>
    <n v="44"/>
    <x v="1"/>
    <x v="1"/>
    <x v="0"/>
    <n v="39014"/>
  </r>
  <r>
    <s v="E1002"/>
    <x v="1"/>
    <x v="1"/>
    <n v="44"/>
    <x v="2"/>
    <x v="2"/>
    <x v="1"/>
    <n v="30083"/>
  </r>
  <r>
    <s v="E1003"/>
    <x v="0"/>
    <x v="1"/>
    <n v="23"/>
    <x v="3"/>
    <x v="3"/>
    <x v="0"/>
    <n v="71032"/>
  </r>
  <r>
    <s v="E1004"/>
    <x v="1"/>
    <x v="0"/>
    <n v="48"/>
    <x v="4"/>
    <x v="2"/>
    <x v="1"/>
    <n v="46427"/>
  </r>
  <r>
    <s v="E1005"/>
    <x v="1"/>
    <x v="0"/>
    <n v="36"/>
    <x v="5"/>
    <x v="4"/>
    <x v="0"/>
    <n v="104801"/>
  </r>
  <r>
    <s v="E1006"/>
    <x v="2"/>
    <x v="1"/>
    <n v="31"/>
    <x v="6"/>
    <x v="5"/>
    <x v="0"/>
    <n v="63913"/>
  </r>
  <r>
    <s v="E1007"/>
    <x v="0"/>
    <x v="1"/>
    <n v="39"/>
    <x v="7"/>
    <x v="2"/>
    <x v="1"/>
    <n v="79964"/>
  </r>
  <r>
    <s v="E1008"/>
    <x v="3"/>
    <x v="1"/>
    <n v="41"/>
    <x v="8"/>
    <x v="6"/>
    <x v="0"/>
    <n v="71187"/>
  </r>
  <r>
    <s v="E1009"/>
    <x v="2"/>
    <x v="1"/>
    <n v="33"/>
    <x v="9"/>
    <x v="7"/>
    <x v="0"/>
    <n v="85778"/>
  </r>
  <r>
    <s v="E1010"/>
    <x v="4"/>
    <x v="0"/>
    <n v="44"/>
    <x v="10"/>
    <x v="8"/>
    <x v="0"/>
    <n v="38642"/>
  </r>
  <r>
    <s v="E1011"/>
    <x v="2"/>
    <x v="1"/>
    <n v="39"/>
    <x v="11"/>
    <x v="9"/>
    <x v="0"/>
    <n v="52972"/>
  </r>
  <r>
    <s v="E1012"/>
    <x v="4"/>
    <x v="1"/>
    <n v="49"/>
    <x v="12"/>
    <x v="10"/>
    <x v="0"/>
    <n v="105379"/>
  </r>
  <r>
    <s v="E1013"/>
    <x v="1"/>
    <x v="1"/>
    <n v="34"/>
    <x v="13"/>
    <x v="2"/>
    <x v="1"/>
    <n v="107731"/>
  </r>
  <r>
    <s v="E1014"/>
    <x v="1"/>
    <x v="1"/>
    <n v="27"/>
    <x v="14"/>
    <x v="2"/>
    <x v="1"/>
    <n v="32559"/>
  </r>
  <r>
    <s v="E1015"/>
    <x v="2"/>
    <x v="0"/>
    <n v="44"/>
    <x v="15"/>
    <x v="11"/>
    <x v="0"/>
    <n v="55865"/>
  </r>
  <r>
    <s v="E1016"/>
    <x v="2"/>
    <x v="1"/>
    <n v="25"/>
    <x v="16"/>
    <x v="12"/>
    <x v="0"/>
    <n v="98094"/>
  </r>
  <r>
    <s v="E1017"/>
    <x v="3"/>
    <x v="0"/>
    <n v="33"/>
    <x v="17"/>
    <x v="2"/>
    <x v="1"/>
    <n v="90546"/>
  </r>
  <r>
    <s v="E1018"/>
    <x v="3"/>
    <x v="1"/>
    <n v="22"/>
    <x v="18"/>
    <x v="13"/>
    <x v="0"/>
    <n v="34566"/>
  </r>
  <r>
    <s v="E1019"/>
    <x v="3"/>
    <x v="0"/>
    <n v="24"/>
    <x v="19"/>
    <x v="14"/>
    <x v="0"/>
    <n v="105366"/>
  </r>
  <r>
    <s v="E1020"/>
    <x v="0"/>
    <x v="0"/>
    <n v="30"/>
    <x v="20"/>
    <x v="2"/>
    <x v="1"/>
    <n v="63032"/>
  </r>
  <r>
    <s v="E1021"/>
    <x v="1"/>
    <x v="1"/>
    <n v="29"/>
    <x v="21"/>
    <x v="2"/>
    <x v="1"/>
    <n v="65831"/>
  </r>
  <r>
    <s v="E1022"/>
    <x v="3"/>
    <x v="1"/>
    <n v="46"/>
    <x v="22"/>
    <x v="15"/>
    <x v="0"/>
    <n v="34892"/>
  </r>
  <r>
    <s v="E1023"/>
    <x v="4"/>
    <x v="0"/>
    <n v="31"/>
    <x v="23"/>
    <x v="2"/>
    <x v="1"/>
    <n v="31149"/>
  </r>
  <r>
    <s v="E1024"/>
    <x v="2"/>
    <x v="0"/>
    <n v="41"/>
    <x v="24"/>
    <x v="16"/>
    <x v="0"/>
    <n v="42901"/>
  </r>
  <r>
    <s v="E1025"/>
    <x v="4"/>
    <x v="1"/>
    <n v="41"/>
    <x v="25"/>
    <x v="2"/>
    <x v="1"/>
    <n v="84454"/>
  </r>
  <r>
    <s v="E1026"/>
    <x v="4"/>
    <x v="0"/>
    <n v="32"/>
    <x v="26"/>
    <x v="17"/>
    <x v="0"/>
    <n v="57114"/>
  </r>
  <r>
    <s v="E1027"/>
    <x v="2"/>
    <x v="1"/>
    <n v="37"/>
    <x v="27"/>
    <x v="18"/>
    <x v="0"/>
    <n v="64488"/>
  </r>
  <r>
    <s v="E1028"/>
    <x v="4"/>
    <x v="0"/>
    <n v="41"/>
    <x v="28"/>
    <x v="19"/>
    <x v="0"/>
    <n v="89017"/>
  </r>
  <r>
    <s v="E1029"/>
    <x v="2"/>
    <x v="1"/>
    <n v="28"/>
    <x v="29"/>
    <x v="20"/>
    <x v="0"/>
    <n v="10561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n v="120"/>
    <n v="80"/>
    <n v="84"/>
    <x v="0"/>
    <n v="124"/>
    <n v="4"/>
  </r>
  <r>
    <x v="1"/>
    <x v="1"/>
    <x v="1"/>
    <n v="132"/>
    <n v="54"/>
    <n v="28"/>
    <x v="1"/>
    <n v="106"/>
    <n v="26"/>
  </r>
  <r>
    <x v="2"/>
    <x v="0"/>
    <x v="0"/>
    <n v="54"/>
    <n v="79"/>
    <n v="25"/>
    <x v="2"/>
    <n v="0"/>
    <n v="54"/>
  </r>
  <r>
    <x v="3"/>
    <x v="0"/>
    <x v="2"/>
    <n v="184"/>
    <n v="75"/>
    <n v="81"/>
    <x v="3"/>
    <n v="190"/>
    <n v="6"/>
  </r>
  <r>
    <x v="4"/>
    <x v="2"/>
    <x v="0"/>
    <n v="100"/>
    <n v="44"/>
    <n v="29"/>
    <x v="4"/>
    <n v="85"/>
    <n v="15"/>
  </r>
  <r>
    <x v="5"/>
    <x v="1"/>
    <x v="1"/>
    <n v="163"/>
    <n v="67"/>
    <n v="63"/>
    <x v="5"/>
    <n v="159"/>
    <n v="4"/>
  </r>
  <r>
    <x v="6"/>
    <x v="2"/>
    <x v="0"/>
    <n v="196"/>
    <n v="64"/>
    <n v="44"/>
    <x v="6"/>
    <n v="176"/>
    <n v="20"/>
  </r>
  <r>
    <x v="7"/>
    <x v="0"/>
    <x v="1"/>
    <n v="194"/>
    <n v="46"/>
    <n v="91"/>
    <x v="7"/>
    <n v="239"/>
    <n v="45"/>
  </r>
  <r>
    <x v="8"/>
    <x v="2"/>
    <x v="0"/>
    <n v="95"/>
    <n v="15"/>
    <n v="49"/>
    <x v="8"/>
    <n v="129"/>
    <n v="34"/>
  </r>
  <r>
    <x v="9"/>
    <x v="2"/>
    <x v="1"/>
    <n v="97"/>
    <n v="33"/>
    <n v="62"/>
    <x v="9"/>
    <n v="126"/>
    <n v="29"/>
  </r>
  <r>
    <x v="10"/>
    <x v="2"/>
    <x v="1"/>
    <n v="177"/>
    <n v="63"/>
    <n v="67"/>
    <x v="10"/>
    <n v="181"/>
    <n v="4"/>
  </r>
  <r>
    <x v="11"/>
    <x v="0"/>
    <x v="1"/>
    <n v="114"/>
    <n v="72"/>
    <n v="63"/>
    <x v="11"/>
    <n v="105"/>
    <n v="9"/>
  </r>
  <r>
    <x v="12"/>
    <x v="1"/>
    <x v="1"/>
    <n v="122"/>
    <n v="55"/>
    <n v="68"/>
    <x v="12"/>
    <n v="135"/>
    <n v="13"/>
  </r>
  <r>
    <x v="13"/>
    <x v="0"/>
    <x v="1"/>
    <n v="188"/>
    <n v="32"/>
    <n v="26"/>
    <x v="13"/>
    <n v="182"/>
    <n v="6"/>
  </r>
  <r>
    <x v="14"/>
    <x v="0"/>
    <x v="0"/>
    <n v="181"/>
    <n v="66"/>
    <n v="50"/>
    <x v="14"/>
    <n v="165"/>
    <n v="16"/>
  </r>
  <r>
    <x v="15"/>
    <x v="0"/>
    <x v="2"/>
    <n v="71"/>
    <n v="36"/>
    <n v="65"/>
    <x v="15"/>
    <n v="100"/>
    <n v="29"/>
  </r>
  <r>
    <x v="16"/>
    <x v="0"/>
    <x v="2"/>
    <n v="106"/>
    <n v="10"/>
    <n v="25"/>
    <x v="16"/>
    <n v="121"/>
    <n v="15"/>
  </r>
  <r>
    <x v="17"/>
    <x v="0"/>
    <x v="0"/>
    <n v="129"/>
    <n v="22"/>
    <n v="70"/>
    <x v="17"/>
    <n v="177"/>
    <n v="48"/>
  </r>
  <r>
    <x v="18"/>
    <x v="0"/>
    <x v="0"/>
    <n v="170"/>
    <n v="56"/>
    <n v="21"/>
    <x v="18"/>
    <n v="135"/>
    <n v="35"/>
  </r>
  <r>
    <x v="19"/>
    <x v="0"/>
    <x v="0"/>
    <n v="128"/>
    <n v="40"/>
    <n v="28"/>
    <x v="19"/>
    <n v="116"/>
    <n v="12"/>
  </r>
  <r>
    <x v="20"/>
    <x v="2"/>
    <x v="0"/>
    <n v="56"/>
    <n v="46"/>
    <n v="66"/>
    <x v="20"/>
    <n v="76"/>
    <n v="20"/>
  </r>
  <r>
    <x v="21"/>
    <x v="2"/>
    <x v="0"/>
    <n v="136"/>
    <n v="20"/>
    <n v="59"/>
    <x v="21"/>
    <n v="175"/>
    <n v="39"/>
  </r>
  <r>
    <x v="22"/>
    <x v="0"/>
    <x v="1"/>
    <n v="68"/>
    <n v="56"/>
    <n v="70"/>
    <x v="22"/>
    <n v="82"/>
    <n v="14"/>
  </r>
  <r>
    <x v="23"/>
    <x v="1"/>
    <x v="2"/>
    <n v="165"/>
    <n v="68"/>
    <n v="47"/>
    <x v="23"/>
    <n v="144"/>
    <n v="21"/>
  </r>
  <r>
    <x v="24"/>
    <x v="2"/>
    <x v="1"/>
    <n v="71"/>
    <n v="68"/>
    <n v="57"/>
    <x v="24"/>
    <n v="60"/>
    <n v="11"/>
  </r>
  <r>
    <x v="25"/>
    <x v="2"/>
    <x v="2"/>
    <n v="56"/>
    <n v="70"/>
    <n v="75"/>
    <x v="25"/>
    <n v="61"/>
    <n v="5"/>
  </r>
  <r>
    <x v="26"/>
    <x v="2"/>
    <x v="2"/>
    <n v="80"/>
    <n v="61"/>
    <n v="39"/>
    <x v="26"/>
    <n v="58"/>
    <n v="22"/>
  </r>
  <r>
    <x v="27"/>
    <x v="1"/>
    <x v="1"/>
    <n v="70"/>
    <n v="68"/>
    <n v="46"/>
    <x v="27"/>
    <n v="48"/>
    <n v="22"/>
  </r>
  <r>
    <x v="28"/>
    <x v="0"/>
    <x v="0"/>
    <n v="143"/>
    <n v="49"/>
    <n v="44"/>
    <x v="28"/>
    <n v="138"/>
    <n v="5"/>
  </r>
  <r>
    <x v="29"/>
    <x v="2"/>
    <x v="2"/>
    <n v="168"/>
    <n v="29"/>
    <n v="77"/>
    <x v="29"/>
    <n v="216"/>
    <n v="4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3707"/>
    <n v="5413"/>
    <x v="0"/>
    <x v="0"/>
  </r>
  <r>
    <x v="1"/>
    <x v="1"/>
    <n v="8341"/>
    <n v="10963"/>
    <x v="1"/>
    <x v="1"/>
  </r>
  <r>
    <x v="2"/>
    <x v="2"/>
    <n v="8733"/>
    <n v="8992"/>
    <x v="2"/>
    <x v="2"/>
  </r>
  <r>
    <x v="2"/>
    <x v="3"/>
    <n v="1403"/>
    <n v="7501"/>
    <x v="3"/>
    <x v="0"/>
  </r>
  <r>
    <x v="1"/>
    <x v="3"/>
    <n v="5713"/>
    <n v="11398"/>
    <x v="4"/>
    <x v="0"/>
  </r>
  <r>
    <x v="2"/>
    <x v="0"/>
    <n v="9223"/>
    <n v="13529"/>
    <x v="5"/>
    <x v="3"/>
  </r>
  <r>
    <x v="1"/>
    <x v="1"/>
    <n v="2901"/>
    <n v="12206"/>
    <x v="6"/>
    <x v="1"/>
  </r>
  <r>
    <x v="1"/>
    <x v="2"/>
    <n v="2121"/>
    <n v="11558"/>
    <x v="7"/>
    <x v="1"/>
  </r>
  <r>
    <x v="0"/>
    <x v="2"/>
    <n v="4478"/>
    <n v="12258"/>
    <x v="8"/>
    <x v="3"/>
  </r>
  <r>
    <x v="0"/>
    <x v="1"/>
    <n v="3137"/>
    <n v="10509"/>
    <x v="9"/>
    <x v="3"/>
  </r>
  <r>
    <x v="2"/>
    <x v="3"/>
    <n v="3272"/>
    <n v="11154"/>
    <x v="10"/>
    <x v="1"/>
  </r>
  <r>
    <x v="0"/>
    <x v="3"/>
    <n v="7552"/>
    <n v="5819"/>
    <x v="11"/>
    <x v="2"/>
  </r>
  <r>
    <x v="1"/>
    <x v="1"/>
    <n v="1399"/>
    <n v="5098"/>
    <x v="12"/>
    <x v="3"/>
  </r>
  <r>
    <x v="0"/>
    <x v="2"/>
    <n v="9009"/>
    <n v="8963"/>
    <x v="13"/>
    <x v="1"/>
  </r>
  <r>
    <x v="0"/>
    <x v="0"/>
    <n v="8645"/>
    <n v="8210"/>
    <x v="14"/>
    <x v="0"/>
  </r>
  <r>
    <x v="3"/>
    <x v="3"/>
    <n v="2694"/>
    <n v="7831"/>
    <x v="15"/>
    <x v="2"/>
  </r>
  <r>
    <x v="1"/>
    <x v="3"/>
    <n v="3568"/>
    <n v="6065"/>
    <x v="16"/>
    <x v="0"/>
  </r>
  <r>
    <x v="2"/>
    <x v="1"/>
    <n v="7045"/>
    <n v="14543"/>
    <x v="17"/>
    <x v="2"/>
  </r>
  <r>
    <x v="0"/>
    <x v="0"/>
    <n v="3754"/>
    <n v="13533"/>
    <x v="18"/>
    <x v="3"/>
  </r>
  <r>
    <x v="1"/>
    <x v="1"/>
    <n v="6762"/>
    <n v="5074"/>
    <x v="19"/>
    <x v="3"/>
  </r>
  <r>
    <x v="1"/>
    <x v="1"/>
    <n v="5297"/>
    <n v="10525"/>
    <x v="20"/>
    <x v="0"/>
  </r>
  <r>
    <x v="3"/>
    <x v="3"/>
    <n v="3504"/>
    <n v="5695"/>
    <x v="21"/>
    <x v="3"/>
  </r>
  <r>
    <x v="1"/>
    <x v="2"/>
    <n v="6705"/>
    <n v="8911"/>
    <x v="22"/>
    <x v="0"/>
  </r>
  <r>
    <x v="3"/>
    <x v="2"/>
    <n v="5364"/>
    <n v="8292"/>
    <x v="3"/>
    <x v="3"/>
  </r>
  <r>
    <x v="2"/>
    <x v="1"/>
    <n v="2771"/>
    <n v="14172"/>
    <x v="23"/>
    <x v="1"/>
  </r>
  <r>
    <x v="1"/>
    <x v="2"/>
    <n v="3886"/>
    <n v="5220"/>
    <x v="24"/>
    <x v="1"/>
  </r>
  <r>
    <x v="1"/>
    <x v="1"/>
    <n v="7567"/>
    <n v="13183"/>
    <x v="25"/>
    <x v="0"/>
  </r>
  <r>
    <x v="0"/>
    <x v="1"/>
    <n v="4229"/>
    <n v="7593"/>
    <x v="26"/>
    <x v="3"/>
  </r>
  <r>
    <x v="0"/>
    <x v="2"/>
    <n v="3656"/>
    <n v="14541"/>
    <x v="27"/>
    <x v="1"/>
  </r>
  <r>
    <x v="2"/>
    <x v="1"/>
    <n v="8425"/>
    <n v="12388"/>
    <x v="28"/>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O1000"/>
    <x v="0"/>
    <x v="0"/>
    <d v="2023-05-10T00:00:00"/>
    <x v="0"/>
    <n v="6604"/>
    <x v="0"/>
    <n v="7"/>
  </r>
  <r>
    <s v="O1001"/>
    <x v="0"/>
    <x v="1"/>
    <d v="2023-05-20T00:00:00"/>
    <x v="1"/>
    <n v="32671"/>
    <x v="0"/>
    <n v="1"/>
  </r>
  <r>
    <s v="O1002"/>
    <x v="1"/>
    <x v="2"/>
    <d v="2023-02-26T00:00:00"/>
    <x v="1"/>
    <n v="38799"/>
    <x v="0"/>
    <n v="6"/>
  </r>
  <r>
    <s v="O1003"/>
    <x v="2"/>
    <x v="3"/>
    <d v="2023-10-04T00:00:00"/>
    <x v="2"/>
    <n v="40016"/>
    <x v="0"/>
    <n v="3"/>
  </r>
  <r>
    <s v="O1004"/>
    <x v="2"/>
    <x v="4"/>
    <d v="2023-11-03T00:00:00"/>
    <x v="1"/>
    <n v="15591"/>
    <x v="1"/>
    <n v="10"/>
  </r>
  <r>
    <s v="O1005"/>
    <x v="3"/>
    <x v="5"/>
    <d v="2023-11-13T00:00:00"/>
    <x v="3"/>
    <n v="6929"/>
    <x v="1"/>
    <n v="5"/>
  </r>
  <r>
    <s v="O1006"/>
    <x v="1"/>
    <x v="6"/>
    <d v="2023-07-13T00:00:00"/>
    <x v="1"/>
    <n v="32236"/>
    <x v="0"/>
    <n v="9"/>
  </r>
  <r>
    <s v="O1007"/>
    <x v="1"/>
    <x v="7"/>
    <d v="2023-08-15T00:00:00"/>
    <x v="0"/>
    <n v="7082"/>
    <x v="0"/>
    <n v="10"/>
  </r>
  <r>
    <s v="O1008"/>
    <x v="3"/>
    <x v="8"/>
    <d v="2023-07-25T00:00:00"/>
    <x v="0"/>
    <n v="40232"/>
    <x v="0"/>
    <n v="7"/>
  </r>
  <r>
    <s v="O1009"/>
    <x v="0"/>
    <x v="9"/>
    <d v="2023-10-07T00:00:00"/>
    <x v="2"/>
    <n v="34502"/>
    <x v="0"/>
    <n v="7"/>
  </r>
  <r>
    <s v="O1010"/>
    <x v="1"/>
    <x v="10"/>
    <d v="2023-05-24T00:00:00"/>
    <x v="3"/>
    <n v="22818"/>
    <x v="1"/>
    <n v="2"/>
  </r>
  <r>
    <s v="O1011"/>
    <x v="2"/>
    <x v="11"/>
    <d v="2023-10-18T00:00:00"/>
    <x v="2"/>
    <n v="45236"/>
    <x v="1"/>
    <n v="10"/>
  </r>
  <r>
    <s v="O1012"/>
    <x v="3"/>
    <x v="12"/>
    <d v="2023-07-30T00:00:00"/>
    <x v="3"/>
    <n v="47188"/>
    <x v="0"/>
    <n v="7"/>
  </r>
  <r>
    <s v="O1013"/>
    <x v="2"/>
    <x v="13"/>
    <d v="2023-09-19T00:00:00"/>
    <x v="3"/>
    <n v="40135"/>
    <x v="1"/>
    <n v="6"/>
  </r>
  <r>
    <s v="O1014"/>
    <x v="4"/>
    <x v="14"/>
    <d v="2023-10-22T00:00:00"/>
    <x v="1"/>
    <n v="36682"/>
    <x v="1"/>
    <n v="3"/>
  </r>
  <r>
    <s v="O1015"/>
    <x v="2"/>
    <x v="15"/>
    <d v="2023-03-28T00:00:00"/>
    <x v="0"/>
    <n v="14341"/>
    <x v="1"/>
    <n v="7"/>
  </r>
  <r>
    <s v="O1016"/>
    <x v="4"/>
    <x v="16"/>
    <d v="2023-08-03T00:00:00"/>
    <x v="3"/>
    <n v="20862"/>
    <x v="1"/>
    <n v="6"/>
  </r>
  <r>
    <s v="O1017"/>
    <x v="2"/>
    <x v="17"/>
    <d v="2023-02-02T00:00:00"/>
    <x v="1"/>
    <n v="46396"/>
    <x v="0"/>
    <n v="1"/>
  </r>
  <r>
    <s v="O1018"/>
    <x v="1"/>
    <x v="18"/>
    <d v="2023-09-28T00:00:00"/>
    <x v="1"/>
    <n v="13146"/>
    <x v="1"/>
    <n v="1"/>
  </r>
  <r>
    <s v="O1019"/>
    <x v="4"/>
    <x v="19"/>
    <d v="2023-12-01T00:00:00"/>
    <x v="0"/>
    <n v="30201"/>
    <x v="0"/>
    <n v="8"/>
  </r>
  <r>
    <s v="O1020"/>
    <x v="4"/>
    <x v="20"/>
    <d v="2023-06-19T00:00:00"/>
    <x v="1"/>
    <n v="14442"/>
    <x v="1"/>
    <n v="6"/>
  </r>
  <r>
    <s v="O1021"/>
    <x v="0"/>
    <x v="21"/>
    <d v="2023-05-03T00:00:00"/>
    <x v="0"/>
    <n v="43861"/>
    <x v="0"/>
    <n v="10"/>
  </r>
  <r>
    <s v="O1022"/>
    <x v="2"/>
    <x v="22"/>
    <d v="2023-08-10T00:00:00"/>
    <x v="1"/>
    <n v="8349"/>
    <x v="1"/>
    <n v="7"/>
  </r>
  <r>
    <s v="O1023"/>
    <x v="1"/>
    <x v="23"/>
    <d v="2023-05-26T00:00:00"/>
    <x v="2"/>
    <n v="5730"/>
    <x v="0"/>
    <n v="1"/>
  </r>
  <r>
    <s v="O1024"/>
    <x v="2"/>
    <x v="24"/>
    <d v="2023-05-11T00:00:00"/>
    <x v="0"/>
    <n v="48063"/>
    <x v="1"/>
    <n v="7"/>
  </r>
  <r>
    <s v="O1025"/>
    <x v="0"/>
    <x v="25"/>
    <d v="2023-10-14T00:00:00"/>
    <x v="0"/>
    <n v="12868"/>
    <x v="0"/>
    <n v="2"/>
  </r>
  <r>
    <s v="O1026"/>
    <x v="3"/>
    <x v="26"/>
    <d v="2023-06-13T00:00:00"/>
    <x v="1"/>
    <n v="31361"/>
    <x v="0"/>
    <n v="9"/>
  </r>
  <r>
    <s v="O1027"/>
    <x v="1"/>
    <x v="27"/>
    <d v="2023-03-03T00:00:00"/>
    <x v="0"/>
    <n v="5861"/>
    <x v="1"/>
    <n v="6"/>
  </r>
  <r>
    <s v="O1028"/>
    <x v="4"/>
    <x v="28"/>
    <d v="2023-11-15T00:00:00"/>
    <x v="3"/>
    <n v="30084"/>
    <x v="0"/>
    <n v="9"/>
  </r>
  <r>
    <s v="O1029"/>
    <x v="2"/>
    <x v="29"/>
    <d v="2023-11-23T00:00:00"/>
    <x v="3"/>
    <n v="13255"/>
    <x v="0"/>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ACE49D-E132-4F11-9D32-FD2F86EDC4D3}" name="PivotTable8"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
  <location ref="L7:M13" firstHeaderRow="1" firstDataRow="1" firstDataCol="1"/>
  <pivotFields count="10">
    <pivotField numFmtId="164" showAll="0">
      <items count="28">
        <item x="21"/>
        <item x="13"/>
        <item x="22"/>
        <item x="10"/>
        <item x="24"/>
        <item x="14"/>
        <item x="3"/>
        <item x="7"/>
        <item x="18"/>
        <item x="0"/>
        <item x="6"/>
        <item x="20"/>
        <item x="15"/>
        <item x="9"/>
        <item x="1"/>
        <item x="12"/>
        <item x="8"/>
        <item x="4"/>
        <item x="11"/>
        <item x="17"/>
        <item x="19"/>
        <item x="23"/>
        <item x="16"/>
        <item x="26"/>
        <item x="5"/>
        <item x="2"/>
        <item x="25"/>
        <item t="default"/>
      </items>
    </pivotField>
    <pivotField showAll="0">
      <items count="5">
        <item x="3"/>
        <item x="2"/>
        <item x="1"/>
        <item x="0"/>
        <item t="default"/>
      </items>
    </pivotField>
    <pivotField showAll="0">
      <items count="6">
        <item x="1"/>
        <item x="0"/>
        <item x="4"/>
        <item x="3"/>
        <item x="2"/>
        <item t="default"/>
      </items>
    </pivotField>
    <pivotField axis="axisRow" showAll="0" measureFilter="1">
      <items count="6">
        <item x="2"/>
        <item x="3"/>
        <item x="4"/>
        <item x="1"/>
        <item x="0"/>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Total Revenue" fld="6" baseField="3" baseItem="0"/>
  </dataFields>
  <formats count="6">
    <format dxfId="236">
      <pivotArea type="all" dataOnly="0" outline="0" fieldPosition="0"/>
    </format>
    <format dxfId="235">
      <pivotArea outline="0" collapsedLevelsAreSubtotals="1" fieldPosition="0"/>
    </format>
    <format dxfId="234">
      <pivotArea field="3" type="button" dataOnly="0" labelOnly="1" outline="0" axis="axisRow" fieldPosition="0"/>
    </format>
    <format dxfId="233">
      <pivotArea dataOnly="0" labelOnly="1" fieldPosition="0">
        <references count="1">
          <reference field="3" count="0"/>
        </references>
      </pivotArea>
    </format>
    <format dxfId="232">
      <pivotArea dataOnly="0" labelOnly="1" grandRow="1" outline="0" fieldPosition="0"/>
    </format>
    <format dxfId="23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83A3B6-EA63-4839-A3B8-6F87288950EE}" name="PivotTable7"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Person">
  <location ref="H17:J19" firstHeaderRow="0" firstDataRow="1" firstDataCol="1"/>
  <pivotFields count="10">
    <pivotField numFmtId="164" showAll="0">
      <items count="28">
        <item x="21"/>
        <item x="13"/>
        <item x="22"/>
        <item x="10"/>
        <item x="24"/>
        <item x="14"/>
        <item x="3"/>
        <item x="7"/>
        <item x="18"/>
        <item x="0"/>
        <item x="6"/>
        <item x="20"/>
        <item x="15"/>
        <item x="9"/>
        <item x="1"/>
        <item x="12"/>
        <item x="8"/>
        <item x="4"/>
        <item x="11"/>
        <item x="17"/>
        <item x="19"/>
        <item x="23"/>
        <item x="16"/>
        <item x="26"/>
        <item x="5"/>
        <item x="2"/>
        <item x="25"/>
        <item t="default"/>
      </items>
    </pivotField>
    <pivotField showAll="0">
      <items count="5">
        <item x="3"/>
        <item x="2"/>
        <item x="1"/>
        <item x="0"/>
        <item t="default"/>
      </items>
    </pivotField>
    <pivotField axis="axisRow" showAll="0" measureFilter="1">
      <items count="6">
        <item x="1"/>
        <item x="0"/>
        <item x="4"/>
        <item x="3"/>
        <item x="2"/>
        <item t="default"/>
      </items>
    </pivotField>
    <pivotField showAll="0">
      <items count="6">
        <item x="2"/>
        <item x="3"/>
        <item x="4"/>
        <item x="1"/>
        <item x="0"/>
        <item t="default"/>
      </items>
    </pivotField>
    <pivotField showAll="0"/>
    <pivotField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4"/>
    </i>
    <i t="grand">
      <x/>
    </i>
  </rowItems>
  <colFields count="1">
    <field x="-2"/>
  </colFields>
  <colItems count="2">
    <i>
      <x/>
    </i>
    <i i="1">
      <x v="1"/>
    </i>
  </colItems>
  <dataFields count="2">
    <dataField name="Total Revenue" fld="6" baseField="2" baseItem="4"/>
    <dataField name="Total Profit" fld="7" baseField="2" baseItem="4"/>
  </dataFields>
  <formats count="6">
    <format dxfId="242">
      <pivotArea type="all" dataOnly="0" outline="0" fieldPosition="0"/>
    </format>
    <format dxfId="241">
      <pivotArea outline="0" collapsedLevelsAreSubtotals="1" fieldPosition="0"/>
    </format>
    <format dxfId="240">
      <pivotArea field="2" type="button" dataOnly="0" labelOnly="1" outline="0" axis="axisRow" fieldPosition="0"/>
    </format>
    <format dxfId="239">
      <pivotArea dataOnly="0" labelOnly="1" fieldPosition="0">
        <references count="1">
          <reference field="2" count="1">
            <x v="4"/>
          </reference>
        </references>
      </pivotArea>
    </format>
    <format dxfId="238">
      <pivotArea dataOnly="0" labelOnly="1" grandRow="1" outline="0" fieldPosition="0"/>
    </format>
    <format dxfId="23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C8EE48-8900-4103-987F-090746CB6C22}" name="PivotTable6"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location ref="M26:O39" firstHeaderRow="0" firstDataRow="1" firstDataCol="1"/>
  <pivotFields count="10">
    <pivotField axis="axisRow" numFmtId="164" showAll="0">
      <items count="28">
        <item x="21"/>
        <item x="13"/>
        <item x="22"/>
        <item x="10"/>
        <item x="24"/>
        <item x="14"/>
        <item x="3"/>
        <item x="7"/>
        <item x="18"/>
        <item x="0"/>
        <item x="6"/>
        <item x="20"/>
        <item x="15"/>
        <item x="9"/>
        <item x="1"/>
        <item x="12"/>
        <item x="8"/>
        <item x="4"/>
        <item x="11"/>
        <item x="17"/>
        <item x="19"/>
        <item x="23"/>
        <item x="16"/>
        <item x="26"/>
        <item x="5"/>
        <item x="2"/>
        <item x="25"/>
        <item t="default"/>
      </items>
    </pivotField>
    <pivotField showAll="0">
      <items count="5">
        <item x="3"/>
        <item x="2"/>
        <item x="1"/>
        <item x="0"/>
        <item t="default"/>
      </items>
    </pivotField>
    <pivotField showAll="0">
      <items count="6">
        <item x="1"/>
        <item x="0"/>
        <item x="4"/>
        <item x="3"/>
        <item x="2"/>
        <item t="default"/>
      </items>
    </pivotField>
    <pivotField showAll="0">
      <items count="6">
        <item x="2"/>
        <item x="3"/>
        <item x="4"/>
        <item x="1"/>
        <item x="0"/>
        <item t="default"/>
      </items>
    </pivotField>
    <pivotField showAll="0"/>
    <pivotField showAll="0"/>
    <pivotField dataField="1"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0"/>
  </rowFields>
  <rowItems count="13">
    <i>
      <x v="1"/>
    </i>
    <i>
      <x v="2"/>
    </i>
    <i>
      <x v="3"/>
    </i>
    <i>
      <x v="4"/>
    </i>
    <i>
      <x v="5"/>
    </i>
    <i>
      <x v="6"/>
    </i>
    <i>
      <x v="7"/>
    </i>
    <i>
      <x v="8"/>
    </i>
    <i>
      <x v="9"/>
    </i>
    <i>
      <x v="10"/>
    </i>
    <i>
      <x v="11"/>
    </i>
    <i>
      <x v="12"/>
    </i>
    <i t="grand">
      <x/>
    </i>
  </rowItems>
  <colFields count="1">
    <field x="-2"/>
  </colFields>
  <colItems count="2">
    <i>
      <x/>
    </i>
    <i i="1">
      <x v="1"/>
    </i>
  </colItems>
  <dataFields count="2">
    <dataField name="Total Revenue" fld="6" baseField="9" baseItem="1"/>
    <dataField name="Total Profit" fld="7" baseField="9" baseItem="1"/>
  </dataFields>
  <formats count="28">
    <format dxfId="270">
      <pivotArea type="all" dataOnly="0" outline="0" fieldPosition="0"/>
    </format>
    <format dxfId="269">
      <pivotArea outline="0" collapsedLevelsAreSubtotals="1" fieldPosition="0"/>
    </format>
    <format dxfId="268">
      <pivotArea dataOnly="0" labelOnly="1" grandRow="1" outline="0" fieldPosition="0"/>
    </format>
    <format dxfId="267">
      <pivotArea collapsedLevelsAreSubtotals="1" fieldPosition="0">
        <references count="1">
          <reference field="9" count="1">
            <x v="1"/>
          </reference>
        </references>
      </pivotArea>
    </format>
    <format dxfId="266">
      <pivotArea collapsedLevelsAreSubtotals="1" fieldPosition="0">
        <references count="2">
          <reference field="8" count="1">
            <x v="26"/>
          </reference>
          <reference field="9" count="1" selected="0">
            <x v="1"/>
          </reference>
        </references>
      </pivotArea>
    </format>
    <format dxfId="265">
      <pivotArea collapsedLevelsAreSubtotals="1" fieldPosition="0">
        <references count="2">
          <reference field="8" count="1">
            <x v="28"/>
          </reference>
          <reference field="9" count="1" selected="0">
            <x v="1"/>
          </reference>
        </references>
      </pivotArea>
    </format>
    <format dxfId="264">
      <pivotArea collapsedLevelsAreSubtotals="1" fieldPosition="0">
        <references count="1">
          <reference field="9" count="1">
            <x v="2"/>
          </reference>
        </references>
      </pivotArea>
    </format>
    <format dxfId="263">
      <pivotArea collapsedLevelsAreSubtotals="1" fieldPosition="0">
        <references count="1">
          <reference field="9" count="1">
            <x v="3"/>
          </reference>
        </references>
      </pivotArea>
    </format>
    <format dxfId="262">
      <pivotArea collapsedLevelsAreSubtotals="1" fieldPosition="0">
        <references count="1">
          <reference field="9" count="1">
            <x v="4"/>
          </reference>
        </references>
      </pivotArea>
    </format>
    <format dxfId="261">
      <pivotArea collapsedLevelsAreSubtotals="1" fieldPosition="0">
        <references count="1">
          <reference field="9" count="1">
            <x v="5"/>
          </reference>
        </references>
      </pivotArea>
    </format>
    <format dxfId="260">
      <pivotArea collapsedLevelsAreSubtotals="1" fieldPosition="0">
        <references count="1">
          <reference field="9" count="1">
            <x v="6"/>
          </reference>
        </references>
      </pivotArea>
    </format>
    <format dxfId="259">
      <pivotArea collapsedLevelsAreSubtotals="1" fieldPosition="0">
        <references count="1">
          <reference field="9" count="1">
            <x v="7"/>
          </reference>
        </references>
      </pivotArea>
    </format>
    <format dxfId="258">
      <pivotArea collapsedLevelsAreSubtotals="1" fieldPosition="0">
        <references count="1">
          <reference field="9" count="1">
            <x v="8"/>
          </reference>
        </references>
      </pivotArea>
    </format>
    <format dxfId="257">
      <pivotArea collapsedLevelsAreSubtotals="1" fieldPosition="0">
        <references count="1">
          <reference field="9" count="1">
            <x v="9"/>
          </reference>
        </references>
      </pivotArea>
    </format>
    <format dxfId="256">
      <pivotArea collapsedLevelsAreSubtotals="1" fieldPosition="0">
        <references count="1">
          <reference field="9" count="1">
            <x v="10"/>
          </reference>
        </references>
      </pivotArea>
    </format>
    <format dxfId="255">
      <pivotArea collapsedLevelsAreSubtotals="1" fieldPosition="0">
        <references count="1">
          <reference field="9" count="1">
            <x v="11"/>
          </reference>
        </references>
      </pivotArea>
    </format>
    <format dxfId="254">
      <pivotArea collapsedLevelsAreSubtotals="1" fieldPosition="0">
        <references count="1">
          <reference field="9" count="1">
            <x v="12"/>
          </reference>
        </references>
      </pivotArea>
    </format>
    <format dxfId="253">
      <pivotArea field="9" type="button" dataOnly="0" labelOnly="1" outline="0" axis="axisRow" fieldPosition="0"/>
    </format>
    <format dxfId="252">
      <pivotArea dataOnly="0" labelOnly="1" fieldPosition="0">
        <references count="1">
          <reference field="9" count="12">
            <x v="1"/>
            <x v="2"/>
            <x v="3"/>
            <x v="4"/>
            <x v="5"/>
            <x v="6"/>
            <x v="7"/>
            <x v="8"/>
            <x v="9"/>
            <x v="10"/>
            <x v="11"/>
            <x v="12"/>
          </reference>
        </references>
      </pivotArea>
    </format>
    <format dxfId="251">
      <pivotArea dataOnly="0" labelOnly="1" fieldPosition="0">
        <references count="2">
          <reference field="8" count="2">
            <x v="26"/>
            <x v="28"/>
          </reference>
          <reference field="9" count="1" selected="0">
            <x v="1"/>
          </reference>
        </references>
      </pivotArea>
    </format>
    <format dxfId="250">
      <pivotArea dataOnly="0" labelOnly="1" outline="0" fieldPosition="0">
        <references count="1">
          <reference field="4294967294" count="2">
            <x v="0"/>
            <x v="1"/>
          </reference>
        </references>
      </pivotArea>
    </format>
    <format dxfId="249">
      <pivotArea type="all" dataOnly="0" outline="0" fieldPosition="0"/>
    </format>
    <format dxfId="248">
      <pivotArea outline="0" collapsedLevelsAreSubtotals="1" fieldPosition="0"/>
    </format>
    <format dxfId="247">
      <pivotArea field="9" type="button" dataOnly="0" labelOnly="1" outline="0" axis="axisRow" fieldPosition="0"/>
    </format>
    <format dxfId="246">
      <pivotArea dataOnly="0" labelOnly="1" fieldPosition="0">
        <references count="1">
          <reference field="9" count="12">
            <x v="1"/>
            <x v="2"/>
            <x v="3"/>
            <x v="4"/>
            <x v="5"/>
            <x v="6"/>
            <x v="7"/>
            <x v="8"/>
            <x v="9"/>
            <x v="10"/>
            <x v="11"/>
            <x v="12"/>
          </reference>
        </references>
      </pivotArea>
    </format>
    <format dxfId="245">
      <pivotArea dataOnly="0" labelOnly="1" grandRow="1" outline="0" fieldPosition="0"/>
    </format>
    <format dxfId="244">
      <pivotArea dataOnly="0" labelOnly="1" fieldPosition="0">
        <references count="2">
          <reference field="8" count="2">
            <x v="26"/>
            <x v="28"/>
          </reference>
          <reference field="9" count="1" selected="0">
            <x v="1"/>
          </reference>
        </references>
      </pivotArea>
    </format>
    <format dxfId="243">
      <pivotArea dataOnly="0" labelOnly="1" outline="0" fieldPosition="0">
        <references count="1">
          <reference field="4294967294" count="2">
            <x v="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EAEA4A-4924-4D80-A7B7-F59B15DEFCB7}" name="PivotTable5"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Person">
  <location ref="H7:J13" firstHeaderRow="0" firstDataRow="1" firstDataCol="1"/>
  <pivotFields count="10">
    <pivotField numFmtId="164" showAll="0">
      <items count="28">
        <item x="21"/>
        <item x="13"/>
        <item x="22"/>
        <item x="10"/>
        <item x="24"/>
        <item x="14"/>
        <item x="3"/>
        <item x="7"/>
        <item x="18"/>
        <item x="0"/>
        <item x="6"/>
        <item x="20"/>
        <item x="15"/>
        <item x="9"/>
        <item x="1"/>
        <item x="12"/>
        <item x="8"/>
        <item x="4"/>
        <item x="11"/>
        <item x="17"/>
        <item x="19"/>
        <item x="23"/>
        <item x="16"/>
        <item x="26"/>
        <item x="5"/>
        <item x="2"/>
        <item x="25"/>
        <item t="default"/>
      </items>
    </pivotField>
    <pivotField showAll="0">
      <items count="5">
        <item x="3"/>
        <item x="2"/>
        <item x="1"/>
        <item x="0"/>
        <item t="default"/>
      </items>
    </pivotField>
    <pivotField axis="axisRow" showAll="0">
      <items count="6">
        <item x="1"/>
        <item x="0"/>
        <item x="4"/>
        <item x="3"/>
        <item x="2"/>
        <item t="default"/>
      </items>
    </pivotField>
    <pivotField showAll="0">
      <items count="6">
        <item x="2"/>
        <item x="3"/>
        <item x="4"/>
        <item x="1"/>
        <item x="0"/>
        <item t="default"/>
      </items>
    </pivotField>
    <pivotField showAll="0"/>
    <pivotField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Fields count="1">
    <field x="-2"/>
  </colFields>
  <colItems count="2">
    <i>
      <x/>
    </i>
    <i i="1">
      <x v="1"/>
    </i>
  </colItems>
  <dataFields count="2">
    <dataField name="Total Revenue" fld="6" baseField="2" baseItem="0"/>
    <dataField name="Total Profit" fld="7" baseField="0" baseItem="0"/>
  </dataFields>
  <formats count="6">
    <format dxfId="276">
      <pivotArea type="all" dataOnly="0" outline="0" fieldPosition="0"/>
    </format>
    <format dxfId="275">
      <pivotArea outline="0" collapsedLevelsAreSubtotals="1" fieldPosition="0"/>
    </format>
    <format dxfId="274">
      <pivotArea field="2" type="button" dataOnly="0" labelOnly="1" outline="0" axis="axisRow" fieldPosition="0"/>
    </format>
    <format dxfId="273">
      <pivotArea dataOnly="0" labelOnly="1" fieldPosition="0">
        <references count="1">
          <reference field="2" count="0"/>
        </references>
      </pivotArea>
    </format>
    <format dxfId="272">
      <pivotArea dataOnly="0" labelOnly="1" grandRow="1" outline="0" fieldPosition="0"/>
    </format>
    <format dxfId="27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85F633-2F09-41FF-AB4C-7A564261730E}" name="PivotTable4"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
  <location ref="L17:M22" firstHeaderRow="1" firstDataRow="1" firstDataCol="1"/>
  <pivotFields count="10">
    <pivotField numFmtId="164" showAll="0">
      <items count="28">
        <item x="21"/>
        <item x="13"/>
        <item x="22"/>
        <item x="10"/>
        <item x="24"/>
        <item x="14"/>
        <item x="3"/>
        <item x="7"/>
        <item x="18"/>
        <item x="0"/>
        <item x="6"/>
        <item x="20"/>
        <item x="15"/>
        <item x="9"/>
        <item x="1"/>
        <item x="12"/>
        <item x="8"/>
        <item x="4"/>
        <item x="11"/>
        <item x="17"/>
        <item x="19"/>
        <item x="23"/>
        <item x="16"/>
        <item x="26"/>
        <item x="5"/>
        <item x="2"/>
        <item x="25"/>
        <item t="default"/>
      </items>
    </pivotField>
    <pivotField axis="axisRow" showAll="0">
      <items count="5">
        <item x="3"/>
        <item x="2"/>
        <item x="1"/>
        <item x="0"/>
        <item t="default"/>
      </items>
    </pivotField>
    <pivotField showAll="0">
      <items count="6">
        <item x="1"/>
        <item x="0"/>
        <item x="4"/>
        <item x="3"/>
        <item x="2"/>
        <item t="default"/>
      </items>
    </pivotField>
    <pivotField showAll="0">
      <items count="6">
        <item x="2"/>
        <item x="3"/>
        <item x="4"/>
        <item x="1"/>
        <item x="0"/>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Total Revenue" fld="6" baseField="1" baseItem="0"/>
  </dataFields>
  <formats count="6">
    <format dxfId="282">
      <pivotArea type="all" dataOnly="0" outline="0" fieldPosition="0"/>
    </format>
    <format dxfId="281">
      <pivotArea outline="0" collapsedLevelsAreSubtotals="1" fieldPosition="0"/>
    </format>
    <format dxfId="280">
      <pivotArea field="1" type="button" dataOnly="0" labelOnly="1" outline="0" axis="axisRow" fieldPosition="0"/>
    </format>
    <format dxfId="279">
      <pivotArea dataOnly="0" labelOnly="1" fieldPosition="0">
        <references count="1">
          <reference field="1" count="0"/>
        </references>
      </pivotArea>
    </format>
    <format dxfId="278">
      <pivotArea dataOnly="0" labelOnly="1" grandRow="1" outline="0" fieldPosition="0"/>
    </format>
    <format dxfId="27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21F6CC-A8C0-4118-A8A9-BF79F9C09ACA}" name="PivotTable44" cacheId="10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M14:M15" firstHeaderRow="1" firstDataRow="1" firstDataCol="0"/>
  <pivotFields count="11">
    <pivotField showAll="0"/>
    <pivotField showAll="0">
      <items count="6">
        <item x="2"/>
        <item x="0"/>
        <item x="1"/>
        <item x="3"/>
        <item x="4"/>
        <item t="default"/>
      </items>
    </pivotField>
    <pivotField showAll="0">
      <items count="3">
        <item x="0"/>
        <item x="1"/>
        <item t="default"/>
      </items>
    </pivotField>
    <pivotField showAll="0"/>
    <pivotField numFmtId="164" showAll="0">
      <items count="31">
        <item x="18"/>
        <item x="7"/>
        <item x="15"/>
        <item x="23"/>
        <item x="19"/>
        <item x="9"/>
        <item x="12"/>
        <item x="14"/>
        <item x="3"/>
        <item x="8"/>
        <item x="17"/>
        <item x="21"/>
        <item x="2"/>
        <item x="26"/>
        <item x="20"/>
        <item x="4"/>
        <item x="28"/>
        <item x="16"/>
        <item x="22"/>
        <item x="0"/>
        <item x="11"/>
        <item x="1"/>
        <item x="5"/>
        <item x="6"/>
        <item x="13"/>
        <item x="25"/>
        <item x="27"/>
        <item x="24"/>
        <item x="29"/>
        <item x="10"/>
        <item t="default"/>
      </items>
    </pivotField>
    <pivotField showAll="0">
      <items count="22">
        <item x="10"/>
        <item x="11"/>
        <item x="7"/>
        <item x="14"/>
        <item x="13"/>
        <item x="12"/>
        <item x="6"/>
        <item x="3"/>
        <item x="15"/>
        <item x="19"/>
        <item x="17"/>
        <item x="0"/>
        <item x="16"/>
        <item x="9"/>
        <item x="4"/>
        <item x="1"/>
        <item x="5"/>
        <item x="18"/>
        <item x="8"/>
        <item x="20"/>
        <item x="2"/>
        <item t="default"/>
      </items>
    </pivotField>
    <pivotField showAll="0">
      <items count="3">
        <item x="1"/>
        <item x="0"/>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Average of Salary" fld="7" subtotal="average" baseField="0" baseItem="0"/>
  </dataFields>
  <formats count="3">
    <format dxfId="175">
      <pivotArea type="all" dataOnly="0" outline="0" fieldPosition="0"/>
    </format>
    <format dxfId="174">
      <pivotArea outline="0" collapsedLevelsAreSubtotals="1" fieldPosition="0"/>
    </format>
    <format dxfId="1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67DE6D-4B79-4C38-AF21-D3B11CF2BDCA}" name="PivotTable9" cacheId="10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Department/Status">
  <location ref="G8:H14" firstHeaderRow="1" firstDataRow="1" firstDataCol="1"/>
  <pivotFields count="11">
    <pivotField dataField="1" showAll="0"/>
    <pivotField axis="axisRow" showAll="0">
      <items count="6">
        <item x="2"/>
        <item x="0"/>
        <item x="1"/>
        <item x="3"/>
        <item x="4"/>
        <item t="default"/>
      </items>
    </pivotField>
    <pivotField showAll="0"/>
    <pivotField showAll="0"/>
    <pivotField numFmtId="164" showAll="0">
      <items count="31">
        <item x="18"/>
        <item x="7"/>
        <item x="15"/>
        <item x="23"/>
        <item x="19"/>
        <item x="9"/>
        <item x="12"/>
        <item x="14"/>
        <item x="3"/>
        <item x="8"/>
        <item x="17"/>
        <item x="21"/>
        <item x="2"/>
        <item x="26"/>
        <item x="20"/>
        <item x="4"/>
        <item x="28"/>
        <item x="16"/>
        <item x="22"/>
        <item x="0"/>
        <item x="11"/>
        <item x="1"/>
        <item x="5"/>
        <item x="6"/>
        <item x="13"/>
        <item x="25"/>
        <item x="27"/>
        <item x="24"/>
        <item x="29"/>
        <item x="10"/>
        <item t="default"/>
      </items>
    </pivotField>
    <pivotField showAll="0">
      <items count="22">
        <item x="10"/>
        <item x="11"/>
        <item x="7"/>
        <item x="14"/>
        <item x="13"/>
        <item x="12"/>
        <item x="6"/>
        <item x="3"/>
        <item x="15"/>
        <item x="19"/>
        <item x="17"/>
        <item x="0"/>
        <item x="16"/>
        <item x="9"/>
        <item x="4"/>
        <item x="1"/>
        <item x="5"/>
        <item x="18"/>
        <item x="8"/>
        <item x="20"/>
        <item x="2"/>
        <item t="default"/>
      </items>
    </pivotField>
    <pivotField axis="axisRow"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2">
    <field x="6"/>
    <field x="1"/>
  </rowFields>
  <rowItems count="6">
    <i>
      <x/>
    </i>
    <i r="1">
      <x v="1"/>
    </i>
    <i r="1">
      <x v="2"/>
    </i>
    <i r="1">
      <x v="3"/>
    </i>
    <i r="1">
      <x v="4"/>
    </i>
    <i t="grand">
      <x/>
    </i>
  </rowItems>
  <colItems count="1">
    <i/>
  </colItems>
  <dataFields count="1">
    <dataField name="Count of Employee ID" fld="0" subtotal="count" baseField="6" baseItem="0"/>
  </dataFields>
  <formats count="12">
    <format dxfId="187">
      <pivotArea type="all" dataOnly="0" outline="0" fieldPosition="0"/>
    </format>
    <format dxfId="186">
      <pivotArea field="6" type="button" dataOnly="0" labelOnly="1" outline="0" axis="axisRow" fieldPosition="0"/>
    </format>
    <format dxfId="185">
      <pivotArea type="all" dataOnly="0" outline="0" fieldPosition="0"/>
    </format>
    <format dxfId="184">
      <pivotArea field="6" type="button" dataOnly="0" labelOnly="1" outline="0" axis="axisRow" fieldPosition="0"/>
    </format>
    <format dxfId="183">
      <pivotArea field="6" type="button" dataOnly="0" labelOnly="1" outline="0" axis="axisRow" fieldPosition="0"/>
    </format>
    <format dxfId="182">
      <pivotArea type="all" dataOnly="0" outline="0" fieldPosition="0"/>
    </format>
    <format dxfId="181">
      <pivotArea outline="0" collapsedLevelsAreSubtotals="1" fieldPosition="0"/>
    </format>
    <format dxfId="180">
      <pivotArea field="6" type="button" dataOnly="0" labelOnly="1" outline="0" axis="axisRow" fieldPosition="0"/>
    </format>
    <format dxfId="179">
      <pivotArea dataOnly="0" labelOnly="1" fieldPosition="0">
        <references count="1">
          <reference field="6" count="1">
            <x v="0"/>
          </reference>
        </references>
      </pivotArea>
    </format>
    <format dxfId="178">
      <pivotArea dataOnly="0" labelOnly="1" grandRow="1" outline="0" fieldPosition="0"/>
    </format>
    <format dxfId="177">
      <pivotArea dataOnly="0" labelOnly="1" fieldPosition="0">
        <references count="2">
          <reference field="1" count="4">
            <x v="1"/>
            <x v="2"/>
            <x v="3"/>
            <x v="4"/>
          </reference>
          <reference field="6" count="1" selected="0">
            <x v="0"/>
          </reference>
        </references>
      </pivotArea>
    </format>
    <format dxfId="176">
      <pivotArea dataOnly="0" labelOnly="1" outline="0" axis="axisValues" fieldPosition="0"/>
    </format>
  </formats>
  <pivotTableStyleInfo name="PivotStyleLight16" showRowHeaders="1" showColHeaders="1" showRowStripes="0" showColStripes="0" showLastColumn="1"/>
  <filters count="1">
    <filter fld="6" type="captionEqual" evalOrder="-1" id="1" stringValue1="Active">
      <autoFilter ref="A1">
        <filterColumn colId="0">
          <filters>
            <filter val="Active"/>
          </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27ACAE-F003-459C-BBFE-03A99E0A1931}" name="PivotTable72" cacheId="10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Department">
  <location ref="J31:L37" firstHeaderRow="0" firstDataRow="1" firstDataCol="1"/>
  <pivotFields count="11">
    <pivotField showAll="0"/>
    <pivotField axis="axisRow" showAll="0">
      <items count="6">
        <item x="2"/>
        <item x="0"/>
        <item x="1"/>
        <item x="3"/>
        <item x="4"/>
        <item t="default"/>
      </items>
    </pivotField>
    <pivotField showAll="0">
      <items count="3">
        <item x="0"/>
        <item x="1"/>
        <item t="default"/>
      </items>
    </pivotField>
    <pivotField dataField="1" showAll="0"/>
    <pivotField numFmtId="164" showAll="0">
      <items count="31">
        <item x="18"/>
        <item x="7"/>
        <item x="15"/>
        <item x="23"/>
        <item x="19"/>
        <item x="9"/>
        <item x="12"/>
        <item x="14"/>
        <item x="3"/>
        <item x="8"/>
        <item x="17"/>
        <item x="21"/>
        <item x="2"/>
        <item x="26"/>
        <item x="20"/>
        <item x="4"/>
        <item x="28"/>
        <item x="16"/>
        <item x="22"/>
        <item x="0"/>
        <item x="11"/>
        <item x="1"/>
        <item x="5"/>
        <item x="6"/>
        <item x="13"/>
        <item x="25"/>
        <item x="27"/>
        <item x="24"/>
        <item x="29"/>
        <item x="10"/>
        <item t="default"/>
      </items>
    </pivotField>
    <pivotField showAll="0">
      <items count="22">
        <item x="10"/>
        <item x="11"/>
        <item x="7"/>
        <item x="14"/>
        <item x="13"/>
        <item x="12"/>
        <item x="6"/>
        <item x="3"/>
        <item x="15"/>
        <item x="19"/>
        <item x="17"/>
        <item x="0"/>
        <item x="16"/>
        <item x="9"/>
        <item x="4"/>
        <item x="1"/>
        <item x="5"/>
        <item x="18"/>
        <item x="8"/>
        <item x="20"/>
        <item x="2"/>
        <item t="default"/>
      </items>
    </pivotField>
    <pivotField showAll="0">
      <items count="3">
        <item x="1"/>
        <item x="0"/>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
  </rowFields>
  <rowItems count="6">
    <i>
      <x/>
    </i>
    <i>
      <x v="1"/>
    </i>
    <i>
      <x v="2"/>
    </i>
    <i>
      <x v="3"/>
    </i>
    <i>
      <x v="4"/>
    </i>
    <i t="grand">
      <x/>
    </i>
  </rowItems>
  <colFields count="1">
    <field x="-2"/>
  </colFields>
  <colItems count="2">
    <i>
      <x/>
    </i>
    <i i="1">
      <x v="1"/>
    </i>
  </colItems>
  <dataFields count="2">
    <dataField name="Average of Age" fld="3" subtotal="average" baseField="1" baseItem="0"/>
    <dataField name="Average of Salary" fld="7" subtotal="average" baseField="1" baseItem="0"/>
  </dataFields>
  <formats count="6">
    <format dxfId="193">
      <pivotArea type="all" dataOnly="0" outline="0" fieldPosition="0"/>
    </format>
    <format dxfId="192">
      <pivotArea outline="0" collapsedLevelsAreSubtotals="1" fieldPosition="0"/>
    </format>
    <format dxfId="191">
      <pivotArea field="1" type="button" dataOnly="0" labelOnly="1" outline="0" axis="axisRow" fieldPosition="0"/>
    </format>
    <format dxfId="190">
      <pivotArea dataOnly="0" labelOnly="1" fieldPosition="0">
        <references count="1">
          <reference field="1" count="0"/>
        </references>
      </pivotArea>
    </format>
    <format dxfId="189">
      <pivotArea dataOnly="0" labelOnly="1" grandRow="1" outline="0" fieldPosition="0"/>
    </format>
    <format dxfId="18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62F9F5-0FC5-4741-9699-B1D73AFAA0DE}" name="PivotTable51" cacheId="10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M8:M9" firstHeaderRow="1" firstDataRow="1" firstDataCol="0"/>
  <pivotFields count="11">
    <pivotField dataField="1" showAll="0"/>
    <pivotField showAll="0">
      <items count="6">
        <item x="2"/>
        <item x="0"/>
        <item x="1"/>
        <item x="3"/>
        <item x="4"/>
        <item t="default"/>
      </items>
    </pivotField>
    <pivotField showAll="0">
      <items count="3">
        <item x="0"/>
        <item x="1"/>
        <item t="default"/>
      </items>
    </pivotField>
    <pivotField showAll="0"/>
    <pivotField numFmtId="164" showAll="0">
      <items count="31">
        <item x="18"/>
        <item x="7"/>
        <item x="15"/>
        <item x="23"/>
        <item x="19"/>
        <item x="9"/>
        <item x="12"/>
        <item x="14"/>
        <item x="3"/>
        <item x="8"/>
        <item x="17"/>
        <item x="21"/>
        <item x="2"/>
        <item x="26"/>
        <item x="20"/>
        <item x="4"/>
        <item x="28"/>
        <item x="16"/>
        <item x="22"/>
        <item x="0"/>
        <item x="11"/>
        <item x="1"/>
        <item x="5"/>
        <item x="6"/>
        <item x="13"/>
        <item x="25"/>
        <item x="27"/>
        <item x="24"/>
        <item x="29"/>
        <item x="10"/>
        <item t="default"/>
      </items>
    </pivotField>
    <pivotField showAll="0">
      <items count="22">
        <item x="10"/>
        <item x="11"/>
        <item x="7"/>
        <item x="14"/>
        <item x="13"/>
        <item x="12"/>
        <item x="6"/>
        <item x="3"/>
        <item x="15"/>
        <item x="19"/>
        <item x="17"/>
        <item x="0"/>
        <item x="16"/>
        <item x="9"/>
        <item x="4"/>
        <item x="1"/>
        <item x="5"/>
        <item x="18"/>
        <item x="8"/>
        <item x="20"/>
        <item x="2"/>
        <item t="default"/>
      </items>
    </pivotField>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Headcount" fld="0" subtotal="count" baseField="0" baseItem="0"/>
  </dataFields>
  <formats count="3">
    <format dxfId="196">
      <pivotArea type="all" dataOnly="0" outline="0" fieldPosition="0"/>
    </format>
    <format dxfId="195">
      <pivotArea outline="0" collapsedLevelsAreSubtotals="1" fieldPosition="0"/>
    </format>
    <format dxfId="19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049FB4-5E9A-4A47-9726-57B9101D99DA}" name="PivotTable15" cacheId="10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Department/Status">
  <location ref="J8:K15" firstHeaderRow="1" firstDataRow="1" firstDataCol="1"/>
  <pivotFields count="11">
    <pivotField dataField="1" showAll="0"/>
    <pivotField axis="axisRow" showAll="0">
      <items count="6">
        <item x="2"/>
        <item x="0"/>
        <item x="1"/>
        <item x="3"/>
        <item x="4"/>
        <item t="default"/>
      </items>
    </pivotField>
    <pivotField showAll="0">
      <items count="3">
        <item x="0"/>
        <item x="1"/>
        <item t="default"/>
      </items>
    </pivotField>
    <pivotField showAll="0"/>
    <pivotField numFmtId="164" showAll="0">
      <items count="31">
        <item x="18"/>
        <item x="7"/>
        <item x="15"/>
        <item x="23"/>
        <item x="19"/>
        <item x="9"/>
        <item x="12"/>
        <item x="14"/>
        <item x="3"/>
        <item x="8"/>
        <item x="17"/>
        <item x="21"/>
        <item x="2"/>
        <item x="26"/>
        <item x="20"/>
        <item x="4"/>
        <item x="28"/>
        <item x="16"/>
        <item x="22"/>
        <item x="0"/>
        <item x="11"/>
        <item x="1"/>
        <item x="5"/>
        <item x="6"/>
        <item x="13"/>
        <item x="25"/>
        <item x="27"/>
        <item x="24"/>
        <item x="29"/>
        <item x="10"/>
        <item t="default"/>
      </items>
    </pivotField>
    <pivotField showAll="0">
      <items count="22">
        <item x="10"/>
        <item x="11"/>
        <item x="7"/>
        <item x="14"/>
        <item x="13"/>
        <item x="12"/>
        <item x="6"/>
        <item x="3"/>
        <item x="15"/>
        <item x="19"/>
        <item x="17"/>
        <item x="0"/>
        <item x="16"/>
        <item x="9"/>
        <item x="4"/>
        <item x="1"/>
        <item x="5"/>
        <item x="18"/>
        <item x="8"/>
        <item x="20"/>
        <item x="2"/>
        <item t="default"/>
      </items>
    </pivotField>
    <pivotField axis="axisRow" showAll="0">
      <items count="3">
        <item h="1"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2">
    <field x="6"/>
    <field x="1"/>
  </rowFields>
  <rowItems count="7">
    <i>
      <x v="1"/>
    </i>
    <i r="1">
      <x/>
    </i>
    <i r="1">
      <x v="1"/>
    </i>
    <i r="1">
      <x v="2"/>
    </i>
    <i r="1">
      <x v="3"/>
    </i>
    <i r="1">
      <x v="4"/>
    </i>
    <i t="grand">
      <x/>
    </i>
  </rowItems>
  <colItems count="1">
    <i/>
  </colItems>
  <dataFields count="1">
    <dataField name="Count of Employee ID" fld="0" subtotal="count" baseField="0" baseItem="0"/>
  </dataFields>
  <formats count="7">
    <format dxfId="203">
      <pivotArea type="all" dataOnly="0" outline="0" fieldPosition="0"/>
    </format>
    <format dxfId="202">
      <pivotArea outline="0" collapsedLevelsAreSubtotals="1" fieldPosition="0"/>
    </format>
    <format dxfId="201">
      <pivotArea field="6" type="button" dataOnly="0" labelOnly="1" outline="0" axis="axisRow" fieldPosition="0"/>
    </format>
    <format dxfId="200">
      <pivotArea dataOnly="0" labelOnly="1" fieldPosition="0">
        <references count="1">
          <reference field="6" count="0"/>
        </references>
      </pivotArea>
    </format>
    <format dxfId="199">
      <pivotArea dataOnly="0" labelOnly="1" grandRow="1" outline="0" fieldPosition="0"/>
    </format>
    <format dxfId="198">
      <pivotArea dataOnly="0" labelOnly="1" fieldPosition="0">
        <references count="2">
          <reference field="1" count="0"/>
          <reference field="6" count="0" selected="0"/>
        </references>
      </pivotArea>
    </format>
    <format dxfId="19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D375F3E-1E0B-40CB-AA88-CE50EDF02333}" name="PivotTable50" cacheId="10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M11:M12" firstHeaderRow="1" firstDataRow="1" firstDataCol="0"/>
  <pivotFields count="11">
    <pivotField showAll="0"/>
    <pivotField showAll="0">
      <items count="6">
        <item x="2"/>
        <item x="0"/>
        <item x="1"/>
        <item x="3"/>
        <item x="4"/>
        <item t="default"/>
      </items>
    </pivotField>
    <pivotField showAll="0">
      <items count="3">
        <item x="0"/>
        <item x="1"/>
        <item t="default"/>
      </items>
    </pivotField>
    <pivotField dataField="1" showAll="0"/>
    <pivotField numFmtId="164" showAll="0">
      <items count="31">
        <item x="18"/>
        <item x="7"/>
        <item x="15"/>
        <item x="23"/>
        <item x="19"/>
        <item x="9"/>
        <item x="12"/>
        <item x="14"/>
        <item x="3"/>
        <item x="8"/>
        <item x="17"/>
        <item x="21"/>
        <item x="2"/>
        <item x="26"/>
        <item x="20"/>
        <item x="4"/>
        <item x="28"/>
        <item x="16"/>
        <item x="22"/>
        <item x="0"/>
        <item x="11"/>
        <item x="1"/>
        <item x="5"/>
        <item x="6"/>
        <item x="13"/>
        <item x="25"/>
        <item x="27"/>
        <item x="24"/>
        <item x="29"/>
        <item x="10"/>
        <item t="default"/>
      </items>
    </pivotField>
    <pivotField showAll="0">
      <items count="22">
        <item x="10"/>
        <item x="11"/>
        <item x="7"/>
        <item x="14"/>
        <item x="13"/>
        <item x="12"/>
        <item x="6"/>
        <item x="3"/>
        <item x="15"/>
        <item x="19"/>
        <item x="17"/>
        <item x="0"/>
        <item x="16"/>
        <item x="9"/>
        <item x="4"/>
        <item x="1"/>
        <item x="5"/>
        <item x="18"/>
        <item x="8"/>
        <item x="20"/>
        <item x="2"/>
        <item t="default"/>
      </items>
    </pivotField>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Average of Age" fld="3" subtotal="average" baseField="0" baseItem="0"/>
  </dataFields>
  <formats count="3">
    <format dxfId="206">
      <pivotArea type="all" dataOnly="0" outline="0" fieldPosition="0"/>
    </format>
    <format dxfId="205">
      <pivotArea outline="0" collapsedLevelsAreSubtotals="1" fieldPosition="0"/>
    </format>
    <format dxfId="20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6E2A10F-00C2-434A-9466-670AF180B9EC}" name="PivotTable14" cacheId="10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Gender">
  <location ref="G34:H37" firstHeaderRow="1" firstDataRow="1" firstDataCol="1"/>
  <pivotFields count="11">
    <pivotField dataField="1" showAll="0"/>
    <pivotField showAll="0">
      <items count="6">
        <item x="2"/>
        <item x="0"/>
        <item x="1"/>
        <item x="3"/>
        <item x="4"/>
        <item t="default"/>
      </items>
    </pivotField>
    <pivotField axis="axisRow" showAll="0">
      <items count="3">
        <item x="0"/>
        <item x="1"/>
        <item t="default"/>
      </items>
    </pivotField>
    <pivotField showAll="0"/>
    <pivotField numFmtId="164" showAll="0">
      <items count="31">
        <item x="18"/>
        <item x="7"/>
        <item x="15"/>
        <item x="23"/>
        <item x="19"/>
        <item x="9"/>
        <item x="12"/>
        <item x="14"/>
        <item x="3"/>
        <item x="8"/>
        <item x="17"/>
        <item x="21"/>
        <item x="2"/>
        <item x="26"/>
        <item x="20"/>
        <item x="4"/>
        <item x="28"/>
        <item x="16"/>
        <item x="22"/>
        <item x="0"/>
        <item x="11"/>
        <item x="1"/>
        <item x="5"/>
        <item x="6"/>
        <item x="13"/>
        <item x="25"/>
        <item x="27"/>
        <item x="24"/>
        <item x="29"/>
        <item x="10"/>
        <item t="default"/>
      </items>
    </pivotField>
    <pivotField showAll="0">
      <items count="22">
        <item x="10"/>
        <item x="11"/>
        <item x="7"/>
        <item x="14"/>
        <item x="13"/>
        <item x="12"/>
        <item x="6"/>
        <item x="3"/>
        <item x="15"/>
        <item x="19"/>
        <item x="17"/>
        <item x="0"/>
        <item x="16"/>
        <item x="9"/>
        <item x="4"/>
        <item x="1"/>
        <item x="5"/>
        <item x="18"/>
        <item x="8"/>
        <item x="20"/>
        <item x="2"/>
        <item t="default"/>
      </items>
    </pivotField>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
  </rowFields>
  <rowItems count="3">
    <i>
      <x/>
    </i>
    <i>
      <x v="1"/>
    </i>
    <i t="grand">
      <x/>
    </i>
  </rowItems>
  <colItems count="1">
    <i/>
  </colItems>
  <dataFields count="1">
    <dataField name="Count of Employee ID" fld="0" subtotal="count" baseField="0" baseItem="0"/>
  </dataFields>
  <formats count="6">
    <format dxfId="212">
      <pivotArea type="all" dataOnly="0" outline="0" fieldPosition="0"/>
    </format>
    <format dxfId="211">
      <pivotArea outline="0" collapsedLevelsAreSubtotals="1" fieldPosition="0"/>
    </format>
    <format dxfId="210">
      <pivotArea field="2" type="button" dataOnly="0" labelOnly="1" outline="0" axis="axisRow" fieldPosition="0"/>
    </format>
    <format dxfId="209">
      <pivotArea dataOnly="0" labelOnly="1" fieldPosition="0">
        <references count="1">
          <reference field="2" count="0"/>
        </references>
      </pivotArea>
    </format>
    <format dxfId="208">
      <pivotArea dataOnly="0" labelOnly="1" grandRow="1" outline="0" fieldPosition="0"/>
    </format>
    <format dxfId="207">
      <pivotArea dataOnly="0" labelOnly="1" outline="0" axis="axisValues" fieldPosition="0"/>
    </format>
  </format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F099502-CD9A-4310-8D2C-1F16CAEEB379}" name="PivotTable12" cacheId="10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Year">
  <location ref="J20:K27" firstHeaderRow="1" firstDataRow="1" firstDataCol="1" rowPageCount="1" colPageCount="1"/>
  <pivotFields count="11">
    <pivotField dataField="1" showAll="0"/>
    <pivotField showAll="0">
      <items count="6">
        <item x="2"/>
        <item x="0"/>
        <item x="1"/>
        <item x="3"/>
        <item x="4"/>
        <item t="default"/>
      </items>
    </pivotField>
    <pivotField showAll="0">
      <items count="3">
        <item x="0"/>
        <item x="1"/>
        <item t="default"/>
      </items>
    </pivotField>
    <pivotField showAll="0"/>
    <pivotField numFmtId="164" showAll="0">
      <items count="31">
        <item x="18"/>
        <item x="7"/>
        <item x="15"/>
        <item x="23"/>
        <item x="19"/>
        <item x="9"/>
        <item x="12"/>
        <item x="14"/>
        <item x="3"/>
        <item x="8"/>
        <item x="17"/>
        <item x="21"/>
        <item x="2"/>
        <item x="26"/>
        <item x="20"/>
        <item x="4"/>
        <item x="28"/>
        <item x="16"/>
        <item x="22"/>
        <item x="0"/>
        <item x="11"/>
        <item x="1"/>
        <item x="5"/>
        <item x="6"/>
        <item x="13"/>
        <item x="25"/>
        <item x="27"/>
        <item x="24"/>
        <item x="29"/>
        <item x="10"/>
        <item t="default"/>
      </items>
    </pivotField>
    <pivotField axis="axisRow" showAll="0">
      <items count="22">
        <item x="10"/>
        <item x="11"/>
        <item x="7"/>
        <item x="14"/>
        <item x="13"/>
        <item x="12"/>
        <item x="6"/>
        <item x="3"/>
        <item x="15"/>
        <item x="19"/>
        <item x="17"/>
        <item x="0"/>
        <item x="16"/>
        <item x="9"/>
        <item x="4"/>
        <item x="1"/>
        <item x="5"/>
        <item x="18"/>
        <item x="8"/>
        <item x="20"/>
        <item x="2"/>
        <item t="default"/>
      </items>
    </pivotField>
    <pivotField axis="axisPage" multipleItemSelectionAllowed="1" showAll="0">
      <items count="3">
        <item h="1" x="1"/>
        <item x="0"/>
        <item t="default"/>
      </items>
    </pivotField>
    <pivotField showAll="0"/>
    <pivotField axis="axisRow" showAll="0">
      <items count="15">
        <item x="0"/>
        <item sd="0" x="1"/>
        <item sd="0" x="2"/>
        <item sd="0" x="3"/>
        <item sd="0" x="4"/>
        <item x="5"/>
        <item sd="0" x="6"/>
        <item sd="0" x="7"/>
        <item sd="0" x="8"/>
        <item sd="0" x="9"/>
        <item sd="0" x="10"/>
        <item sd="0" x="11"/>
        <item sd="0" x="12"/>
        <item sd="0" x="13"/>
        <item t="default"/>
      </items>
    </pivotField>
    <pivotField showAll="0">
      <items count="7">
        <item x="0"/>
        <item sd="0" x="1"/>
        <item x="2"/>
        <item sd="0" x="3"/>
        <item sd="0" x="4"/>
        <item sd="0" x="5"/>
        <item t="default"/>
      </items>
    </pivotField>
    <pivotField axis="axisRow" showAll="0">
      <items count="9">
        <item sd="0" x="0"/>
        <item sd="0" x="1"/>
        <item sd="0" x="2"/>
        <item sd="0" x="3"/>
        <item sd="0" x="4"/>
        <item sd="0" x="5"/>
        <item sd="0" x="6"/>
        <item sd="0" x="7"/>
        <item t="default"/>
      </items>
    </pivotField>
  </pivotFields>
  <rowFields count="3">
    <field x="10"/>
    <field x="8"/>
    <field x="5"/>
  </rowFields>
  <rowItems count="7">
    <i>
      <x v="1"/>
    </i>
    <i>
      <x v="2"/>
    </i>
    <i>
      <x v="3"/>
    </i>
    <i>
      <x v="4"/>
    </i>
    <i>
      <x v="5"/>
    </i>
    <i>
      <x v="6"/>
    </i>
    <i t="grand">
      <x/>
    </i>
  </rowItems>
  <colItems count="1">
    <i/>
  </colItems>
  <pageFields count="1">
    <pageField fld="6" hier="-1"/>
  </pageFields>
  <dataFields count="1">
    <dataField name="Count of Employee ID" fld="0" subtotal="count" baseField="0" baseItem="0"/>
  </dataFields>
  <formats count="6">
    <format dxfId="218">
      <pivotArea type="all" dataOnly="0" outline="0" fieldPosition="0"/>
    </format>
    <format dxfId="217">
      <pivotArea outline="0" collapsedLevelsAreSubtotals="1" fieldPosition="0"/>
    </format>
    <format dxfId="216">
      <pivotArea field="10" type="button" dataOnly="0" labelOnly="1" outline="0" axis="axisRow" fieldPosition="0"/>
    </format>
    <format dxfId="215">
      <pivotArea dataOnly="0" labelOnly="1" fieldPosition="0">
        <references count="1">
          <reference field="10" count="6">
            <x v="1"/>
            <x v="2"/>
            <x v="3"/>
            <x v="4"/>
            <x v="5"/>
            <x v="6"/>
          </reference>
        </references>
      </pivotArea>
    </format>
    <format dxfId="214">
      <pivotArea dataOnly="0" labelOnly="1" grandRow="1" outline="0" fieldPosition="0"/>
    </format>
    <format dxfId="2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DB3E1BA-1BA7-4426-9B5C-EB8C430A2A72}" name="PivotTable10" cacheId="10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Department/Staus">
  <location ref="G16:H32" firstHeaderRow="1" firstDataRow="1" firstDataCol="1"/>
  <pivotFields count="11">
    <pivotField dataField="1" showAll="0"/>
    <pivotField axis="axisRow" showAll="0">
      <items count="6">
        <item x="2"/>
        <item x="0"/>
        <item x="1"/>
        <item x="3"/>
        <item x="4"/>
        <item t="default"/>
      </items>
    </pivotField>
    <pivotField axis="axisRow" showAll="0">
      <items count="3">
        <item x="0"/>
        <item x="1"/>
        <item t="default"/>
      </items>
    </pivotField>
    <pivotField showAll="0"/>
    <pivotField numFmtId="164" showAll="0">
      <items count="31">
        <item x="18"/>
        <item x="7"/>
        <item x="15"/>
        <item x="23"/>
        <item x="19"/>
        <item x="9"/>
        <item x="12"/>
        <item x="14"/>
        <item x="3"/>
        <item x="8"/>
        <item x="17"/>
        <item x="21"/>
        <item x="2"/>
        <item x="26"/>
        <item x="20"/>
        <item x="4"/>
        <item x="28"/>
        <item x="16"/>
        <item x="22"/>
        <item x="0"/>
        <item x="11"/>
        <item x="1"/>
        <item x="5"/>
        <item x="6"/>
        <item x="13"/>
        <item x="25"/>
        <item x="27"/>
        <item x="24"/>
        <item x="29"/>
        <item x="10"/>
        <item t="default"/>
      </items>
    </pivotField>
    <pivotField showAll="0">
      <items count="22">
        <item x="10"/>
        <item x="11"/>
        <item x="7"/>
        <item x="14"/>
        <item x="13"/>
        <item x="12"/>
        <item x="6"/>
        <item x="3"/>
        <item x="15"/>
        <item x="19"/>
        <item x="17"/>
        <item x="0"/>
        <item x="16"/>
        <item x="9"/>
        <item x="4"/>
        <item x="1"/>
        <item x="5"/>
        <item x="18"/>
        <item x="8"/>
        <item x="20"/>
        <item x="2"/>
        <item t="default"/>
      </items>
    </pivotField>
    <pivotField axis="axisRow"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3">
    <field x="6"/>
    <field x="1"/>
    <field x="2"/>
  </rowFields>
  <rowItems count="16">
    <i>
      <x v="1"/>
    </i>
    <i r="1">
      <x/>
    </i>
    <i r="2">
      <x/>
    </i>
    <i r="2">
      <x v="1"/>
    </i>
    <i r="1">
      <x v="1"/>
    </i>
    <i r="2">
      <x/>
    </i>
    <i r="2">
      <x v="1"/>
    </i>
    <i r="1">
      <x v="2"/>
    </i>
    <i r="2">
      <x/>
    </i>
    <i r="1">
      <x v="3"/>
    </i>
    <i r="2">
      <x/>
    </i>
    <i r="2">
      <x v="1"/>
    </i>
    <i r="1">
      <x v="4"/>
    </i>
    <i r="2">
      <x/>
    </i>
    <i r="2">
      <x v="1"/>
    </i>
    <i t="grand">
      <x/>
    </i>
  </rowItems>
  <colItems count="1">
    <i/>
  </colItems>
  <dataFields count="1">
    <dataField name="Count of Employee ID" fld="0" subtotal="count" baseField="0" baseItem="0"/>
  </dataFields>
  <formats count="12">
    <format dxfId="230">
      <pivotArea type="all" dataOnly="0" outline="0" fieldPosition="0"/>
    </format>
    <format dxfId="229">
      <pivotArea outline="0" collapsedLevelsAreSubtotals="1" fieldPosition="0"/>
    </format>
    <format dxfId="228">
      <pivotArea field="6" type="button" dataOnly="0" labelOnly="1" outline="0" axis="axisRow" fieldPosition="0"/>
    </format>
    <format dxfId="227">
      <pivotArea dataOnly="0" labelOnly="1" fieldPosition="0">
        <references count="1">
          <reference field="6" count="1">
            <x v="1"/>
          </reference>
        </references>
      </pivotArea>
    </format>
    <format dxfId="226">
      <pivotArea dataOnly="0" labelOnly="1" grandRow="1" outline="0" fieldPosition="0"/>
    </format>
    <format dxfId="225">
      <pivotArea dataOnly="0" labelOnly="1" fieldPosition="0">
        <references count="2">
          <reference field="1" count="0"/>
          <reference field="6" count="1" selected="0">
            <x v="1"/>
          </reference>
        </references>
      </pivotArea>
    </format>
    <format dxfId="224">
      <pivotArea dataOnly="0" labelOnly="1" fieldPosition="0">
        <references count="3">
          <reference field="1" count="1" selected="0">
            <x v="0"/>
          </reference>
          <reference field="2" count="0"/>
          <reference field="6" count="1" selected="0">
            <x v="1"/>
          </reference>
        </references>
      </pivotArea>
    </format>
    <format dxfId="223">
      <pivotArea dataOnly="0" labelOnly="1" fieldPosition="0">
        <references count="3">
          <reference field="1" count="1" selected="0">
            <x v="1"/>
          </reference>
          <reference field="2" count="0"/>
          <reference field="6" count="1" selected="0">
            <x v="1"/>
          </reference>
        </references>
      </pivotArea>
    </format>
    <format dxfId="222">
      <pivotArea dataOnly="0" labelOnly="1" fieldPosition="0">
        <references count="3">
          <reference field="1" count="1" selected="0">
            <x v="2"/>
          </reference>
          <reference field="2" count="1">
            <x v="0"/>
          </reference>
          <reference field="6" count="1" selected="0">
            <x v="1"/>
          </reference>
        </references>
      </pivotArea>
    </format>
    <format dxfId="221">
      <pivotArea dataOnly="0" labelOnly="1" fieldPosition="0">
        <references count="3">
          <reference field="1" count="1" selected="0">
            <x v="3"/>
          </reference>
          <reference field="2" count="0"/>
          <reference field="6" count="1" selected="0">
            <x v="1"/>
          </reference>
        </references>
      </pivotArea>
    </format>
    <format dxfId="220">
      <pivotArea dataOnly="0" labelOnly="1" fieldPosition="0">
        <references count="3">
          <reference field="1" count="1" selected="0">
            <x v="4"/>
          </reference>
          <reference field="2" count="0"/>
          <reference field="6" count="1" selected="0">
            <x v="1"/>
          </reference>
        </references>
      </pivotArea>
    </format>
    <format dxfId="219">
      <pivotArea dataOnly="0" labelOnly="1" outline="0" axis="axisValues" fieldPosition="0"/>
    </format>
  </formats>
  <pivotTableStyleInfo name="PivotStyleLight16" showRowHeaders="1" showColHeaders="1" showRowStripes="0" showColStripes="0" showLastColumn="1"/>
  <filters count="1">
    <filter fld="6" type="captionNotEqual" evalOrder="-1" id="2" stringValue1="Active">
      <autoFilter ref="A1">
        <filterColumn colId="0">
          <customFilters>
            <customFilter operator="notEqual" val="Active"/>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0C5C0A4-5950-4E37-88FE-8B7020460F61}" name="PivotTable52"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F14:G45" firstHeaderRow="1" firstDataRow="1" firstDataCol="1"/>
  <pivotFields count="11">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4">
        <item x="0"/>
        <item x="1"/>
        <item x="2"/>
        <item t="default"/>
      </items>
    </pivotField>
    <pivotField showAll="0"/>
    <pivotField showAll="0"/>
    <pivotField showAll="0"/>
    <pivotField numFmtId="164" showAll="0">
      <items count="31">
        <item x="26"/>
        <item x="11"/>
        <item x="29"/>
        <item x="10"/>
        <item x="9"/>
        <item x="16"/>
        <item x="2"/>
        <item x="24"/>
        <item x="17"/>
        <item x="18"/>
        <item x="14"/>
        <item x="12"/>
        <item x="20"/>
        <item x="8"/>
        <item x="22"/>
        <item x="25"/>
        <item x="28"/>
        <item x="13"/>
        <item x="0"/>
        <item x="19"/>
        <item x="1"/>
        <item x="6"/>
        <item x="3"/>
        <item x="7"/>
        <item x="15"/>
        <item x="21"/>
        <item x="27"/>
        <item x="5"/>
        <item x="4"/>
        <item x="23"/>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Total Closing Stock" fld="7" baseField="0" baseItem="0"/>
  </dataFields>
  <formats count="6">
    <format dxfId="148">
      <pivotArea type="all" dataOnly="0" outline="0" fieldPosition="0"/>
    </format>
    <format dxfId="147">
      <pivotArea outline="0" collapsedLevelsAreSubtotals="1" fieldPosition="0"/>
    </format>
    <format dxfId="146">
      <pivotArea field="0" type="button" dataOnly="0" labelOnly="1" outline="0" axis="axisRow" fieldPosition="0"/>
    </format>
    <format dxfId="145">
      <pivotArea dataOnly="0" labelOnly="1" fieldPosition="0">
        <references count="1">
          <reference field="0" count="0"/>
        </references>
      </pivotArea>
    </format>
    <format dxfId="144">
      <pivotArea dataOnly="0" labelOnly="1" grandRow="1" outline="0" fieldPosition="0"/>
    </format>
    <format dxfId="143">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0" count="30">
              <x v="0"/>
              <x v="1"/>
              <x v="2"/>
              <x v="3"/>
              <x v="4"/>
              <x v="5"/>
              <x v="6"/>
              <x v="7"/>
              <x v="8"/>
              <x v="9"/>
              <x v="10"/>
              <x v="11"/>
              <x v="12"/>
              <x v="13"/>
              <x v="14"/>
              <x v="15"/>
              <x v="16"/>
              <x v="17"/>
              <x v="18"/>
              <x v="19"/>
              <x v="20"/>
              <x v="21"/>
              <x v="22"/>
              <x v="23"/>
              <x v="24"/>
              <x v="25"/>
              <x v="26"/>
              <x v="27"/>
              <x v="28"/>
              <x v="2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50842D5-3DDD-4BCF-BD50-D933C83222B0}" name="PivotTable26"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Category">
  <location ref="I22:K26" firstHeaderRow="0" firstDataRow="1" firstDataCol="1"/>
  <pivotFields count="11">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4">
        <item x="0"/>
        <item x="1"/>
        <item x="2"/>
        <item t="default"/>
      </items>
    </pivotField>
    <pivotField showAll="0">
      <items count="4">
        <item x="0"/>
        <item x="1"/>
        <item x="2"/>
        <item t="default"/>
      </items>
    </pivotField>
    <pivotField dataField="1" showAll="0"/>
    <pivotField showAll="0"/>
    <pivotField showAll="0"/>
    <pivotField numFmtId="164" showAll="0">
      <items count="31">
        <item x="26"/>
        <item x="11"/>
        <item x="29"/>
        <item x="10"/>
        <item x="9"/>
        <item x="16"/>
        <item x="2"/>
        <item x="24"/>
        <item x="17"/>
        <item x="18"/>
        <item x="14"/>
        <item x="12"/>
        <item x="20"/>
        <item x="8"/>
        <item x="22"/>
        <item x="25"/>
        <item x="28"/>
        <item x="13"/>
        <item x="0"/>
        <item x="19"/>
        <item x="1"/>
        <item x="6"/>
        <item x="3"/>
        <item x="7"/>
        <item x="15"/>
        <item x="21"/>
        <item x="27"/>
        <item x="5"/>
        <item x="4"/>
        <item x="23"/>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Fields count="1">
    <field x="-2"/>
  </colFields>
  <colItems count="2">
    <i>
      <x/>
    </i>
    <i i="1">
      <x v="1"/>
    </i>
  </colItems>
  <dataFields count="2">
    <dataField name="Sum of Opening Stock" fld="3" baseField="0" baseItem="0"/>
    <dataField name="Sum of Closing Stock" fld="7" baseField="0" baseItem="0"/>
  </dataFields>
  <formats count="6">
    <format dxfId="154">
      <pivotArea type="all" dataOnly="0" outline="0" fieldPosition="0"/>
    </format>
    <format dxfId="153">
      <pivotArea outline="0" collapsedLevelsAreSubtotals="1" fieldPosition="0"/>
    </format>
    <format dxfId="152">
      <pivotArea field="1" type="button" dataOnly="0" labelOnly="1" outline="0" axis="axisRow" fieldPosition="0"/>
    </format>
    <format dxfId="151">
      <pivotArea dataOnly="0" labelOnly="1" fieldPosition="0">
        <references count="1">
          <reference field="1" count="0"/>
        </references>
      </pivotArea>
    </format>
    <format dxfId="150">
      <pivotArea dataOnly="0" labelOnly="1" grandRow="1" outline="0" fieldPosition="0"/>
    </format>
    <format dxfId="149">
      <pivotArea dataOnly="0" labelOnly="1" outline="0" fieldPosition="0">
        <references count="1">
          <reference field="4294967294" count="2">
            <x v="0"/>
            <x v="1"/>
          </reference>
        </references>
      </pivotArea>
    </format>
  </formats>
  <chartFormats count="4">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C69D312-AD45-44D8-B283-F1E63FD93F1A}" name="PivotTable22"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I6:J19" firstHeaderRow="1" firstDataRow="1" firstDataCol="1"/>
  <pivotFields count="11">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4">
        <item x="0"/>
        <item x="1"/>
        <item x="2"/>
        <item t="default"/>
      </items>
    </pivotField>
    <pivotField showAll="0"/>
    <pivotField showAll="0"/>
    <pivotField showAll="0"/>
    <pivotField axis="axisRow" numFmtId="164" showAll="0">
      <items count="31">
        <item x="26"/>
        <item x="11"/>
        <item x="29"/>
        <item x="10"/>
        <item x="9"/>
        <item x="16"/>
        <item x="2"/>
        <item x="24"/>
        <item x="17"/>
        <item x="18"/>
        <item x="14"/>
        <item x="12"/>
        <item x="20"/>
        <item x="8"/>
        <item x="22"/>
        <item x="25"/>
        <item x="28"/>
        <item x="13"/>
        <item x="0"/>
        <item x="19"/>
        <item x="1"/>
        <item x="6"/>
        <item x="3"/>
        <item x="7"/>
        <item x="15"/>
        <item x="21"/>
        <item x="27"/>
        <item x="5"/>
        <item x="4"/>
        <item x="23"/>
        <item t="default"/>
      </items>
    </pivotField>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6"/>
  </rowFields>
  <rowItems count="13">
    <i>
      <x v="1"/>
    </i>
    <i>
      <x v="2"/>
    </i>
    <i>
      <x v="3"/>
    </i>
    <i>
      <x v="4"/>
    </i>
    <i>
      <x v="5"/>
    </i>
    <i>
      <x v="6"/>
    </i>
    <i>
      <x v="7"/>
    </i>
    <i>
      <x v="8"/>
    </i>
    <i>
      <x v="9"/>
    </i>
    <i>
      <x v="10"/>
    </i>
    <i>
      <x v="11"/>
    </i>
    <i>
      <x v="12"/>
    </i>
    <i t="grand">
      <x/>
    </i>
  </rowItems>
  <colItems count="1">
    <i/>
  </colItems>
  <dataFields count="1">
    <dataField name="Sum of Total" fld="8" baseField="0" baseItem="0"/>
  </dataFields>
  <formats count="6">
    <format dxfId="160">
      <pivotArea type="all" dataOnly="0" outline="0" fieldPosition="0"/>
    </format>
    <format dxfId="159">
      <pivotArea outline="0" collapsedLevelsAreSubtotals="1" fieldPosition="0"/>
    </format>
    <format dxfId="158">
      <pivotArea field="10" type="button" dataOnly="0" labelOnly="1" outline="0" axis="axisRow" fieldPosition="0"/>
    </format>
    <format dxfId="157">
      <pivotArea dataOnly="0" labelOnly="1" fieldPosition="0">
        <references count="1">
          <reference field="10" count="12">
            <x v="1"/>
            <x v="2"/>
            <x v="3"/>
            <x v="4"/>
            <x v="5"/>
            <x v="6"/>
            <x v="7"/>
            <x v="8"/>
            <x v="9"/>
            <x v="10"/>
            <x v="11"/>
            <x v="12"/>
          </reference>
        </references>
      </pivotArea>
    </format>
    <format dxfId="156">
      <pivotArea dataOnly="0" labelOnly="1" grandRow="1" outline="0" fieldPosition="0"/>
    </format>
    <format dxfId="1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1A7086E-8516-46A2-8EE4-EA6C75CA46E4}" name="PivotTable20"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C14:D45" firstHeaderRow="1" firstDataRow="1" firstDataCol="1"/>
  <pivotFields count="11">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4">
        <item x="0"/>
        <item x="1"/>
        <item x="2"/>
        <item t="default"/>
      </items>
    </pivotField>
    <pivotField showAll="0"/>
    <pivotField showAll="0"/>
    <pivotField showAll="0"/>
    <pivotField numFmtId="164" showAll="0">
      <items count="31">
        <item x="26"/>
        <item x="11"/>
        <item x="29"/>
        <item x="10"/>
        <item x="9"/>
        <item x="16"/>
        <item x="2"/>
        <item x="24"/>
        <item x="17"/>
        <item x="18"/>
        <item x="14"/>
        <item x="12"/>
        <item x="20"/>
        <item x="8"/>
        <item x="22"/>
        <item x="25"/>
        <item x="28"/>
        <item x="13"/>
        <item x="0"/>
        <item x="19"/>
        <item x="1"/>
        <item x="6"/>
        <item x="3"/>
        <item x="7"/>
        <item x="15"/>
        <item x="21"/>
        <item x="27"/>
        <item x="5"/>
        <item x="4"/>
        <item x="23"/>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Total" fld="8" baseField="0" baseItem="0"/>
  </dataFields>
  <formats count="6">
    <format dxfId="166">
      <pivotArea type="all" dataOnly="0" outline="0" fieldPosition="0"/>
    </format>
    <format dxfId="165">
      <pivotArea outline="0" collapsedLevelsAreSubtotals="1" fieldPosition="0"/>
    </format>
    <format dxfId="164">
      <pivotArea field="0" type="button" dataOnly="0" labelOnly="1" outline="0" axis="axisRow" fieldPosition="0"/>
    </format>
    <format dxfId="163">
      <pivotArea dataOnly="0" labelOnly="1" fieldPosition="0">
        <references count="1">
          <reference field="0" count="0"/>
        </references>
      </pivotArea>
    </format>
    <format dxfId="162">
      <pivotArea dataOnly="0" labelOnly="1" grandRow="1" outline="0" fieldPosition="0"/>
    </format>
    <format dxfId="1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5DD85DE-E79D-4E9B-8AB6-550CC81F3149}" name="PivotTable21"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F6:G10" firstHeaderRow="1" firstDataRow="1" firstDataCol="1"/>
  <pivotFields count="11">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4">
        <item x="0"/>
        <item x="1"/>
        <item x="2"/>
        <item t="default"/>
      </items>
    </pivotField>
    <pivotField showAll="0">
      <items count="4">
        <item x="0"/>
        <item x="1"/>
        <item x="2"/>
        <item t="default"/>
      </items>
    </pivotField>
    <pivotField showAll="0"/>
    <pivotField showAll="0"/>
    <pivotField showAll="0"/>
    <pivotField numFmtId="164" showAll="0">
      <items count="31">
        <item x="26"/>
        <item x="11"/>
        <item x="29"/>
        <item x="10"/>
        <item x="9"/>
        <item x="16"/>
        <item x="2"/>
        <item x="24"/>
        <item x="17"/>
        <item x="18"/>
        <item x="14"/>
        <item x="12"/>
        <item x="20"/>
        <item x="8"/>
        <item x="22"/>
        <item x="25"/>
        <item x="28"/>
        <item x="13"/>
        <item x="0"/>
        <item x="19"/>
        <item x="1"/>
        <item x="6"/>
        <item x="3"/>
        <item x="7"/>
        <item x="15"/>
        <item x="21"/>
        <item x="27"/>
        <item x="5"/>
        <item x="4"/>
        <item x="23"/>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Total closing Stock" fld="7" baseField="1" baseItem="0"/>
  </dataFields>
  <formats count="6">
    <format dxfId="172">
      <pivotArea type="all" dataOnly="0" outline="0" fieldPosition="0"/>
    </format>
    <format dxfId="171">
      <pivotArea outline="0" collapsedLevelsAreSubtotals="1" fieldPosition="0"/>
    </format>
    <format dxfId="170">
      <pivotArea field="1" type="button" dataOnly="0" labelOnly="1" outline="0" axis="axisRow" fieldPosition="0"/>
    </format>
    <format dxfId="169">
      <pivotArea dataOnly="0" labelOnly="1" fieldPosition="0">
        <references count="1">
          <reference field="1" count="0"/>
        </references>
      </pivotArea>
    </format>
    <format dxfId="168">
      <pivotArea dataOnly="0" labelOnly="1" grandRow="1" outline="0" fieldPosition="0"/>
    </format>
    <format dxfId="16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69A7742-CE03-4208-8B46-E886593978AF}" name="PivotTable31"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8" firstHeaderRow="1" firstDataRow="1" firstDataCol="1"/>
  <pivotFields count="8">
    <pivotField showAll="0">
      <items count="5">
        <item x="1"/>
        <item x="0"/>
        <item x="3"/>
        <item x="2"/>
        <item t="default"/>
      </items>
    </pivotField>
    <pivotField axis="axisRow" showAll="0">
      <items count="5">
        <item x="0"/>
        <item x="3"/>
        <item x="2"/>
        <item x="1"/>
        <item t="default"/>
      </items>
    </pivotField>
    <pivotField showAll="0"/>
    <pivotField dataField="1" showAll="0"/>
    <pivotField numFmtId="164"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Budget" fld="3"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B824EDB-093D-4DAF-AB6E-C7181BAB84D8}" name="PivotTable30"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8" firstHeaderRow="0" firstDataRow="1" firstDataCol="1"/>
  <pivotFields count="8">
    <pivotField axis="axisRow" showAll="0">
      <items count="5">
        <item x="1"/>
        <item x="0"/>
        <item x="3"/>
        <item x="2"/>
        <item t="default"/>
      </items>
    </pivotField>
    <pivotField showAll="0"/>
    <pivotField dataField="1" showAll="0"/>
    <pivotField dataField="1" showAll="0"/>
    <pivotField numFmtId="164"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5">
    <i>
      <x/>
    </i>
    <i>
      <x v="1"/>
    </i>
    <i>
      <x v="2"/>
    </i>
    <i>
      <x v="3"/>
    </i>
    <i t="grand">
      <x/>
    </i>
  </rowItems>
  <colFields count="1">
    <field x="-2"/>
  </colFields>
  <colItems count="2">
    <i>
      <x/>
    </i>
    <i i="1">
      <x v="1"/>
    </i>
  </colItems>
  <dataFields count="2">
    <dataField name="Sum of Budget" fld="3" baseField="0" baseItem="0"/>
    <dataField name="Sum of Expense Amount"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CEDFABC-31ED-458B-BFAE-302F8C3C79AA}" name="PivotTable49"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L4" firstHeaderRow="1" firstDataRow="1" firstDataCol="0"/>
  <pivotFields count="8">
    <pivotField showAll="0">
      <items count="5">
        <item x="1"/>
        <item x="0"/>
        <item x="3"/>
        <item x="2"/>
        <item t="default"/>
      </items>
    </pivotField>
    <pivotField showAll="0">
      <items count="5">
        <item x="0"/>
        <item x="3"/>
        <item x="2"/>
        <item x="1"/>
        <item t="default"/>
      </items>
    </pivotField>
    <pivotField dataField="1" showAll="0"/>
    <pivotField showAll="0"/>
    <pivotField numFmtId="164"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Exp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05AD772-A9E2-4F48-A446-CD07253C381B}" name="PivotTable48"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8">
    <pivotField showAll="0">
      <items count="5">
        <item x="1"/>
        <item x="0"/>
        <item x="3"/>
        <item x="2"/>
        <item t="default"/>
      </items>
    </pivotField>
    <pivotField showAll="0">
      <items count="5">
        <item x="0"/>
        <item x="3"/>
        <item x="2"/>
        <item x="1"/>
        <item t="default"/>
      </items>
    </pivotField>
    <pivotField showAll="0"/>
    <pivotField dataField="1" showAll="0"/>
    <pivotField numFmtId="164"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Budge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FBFF2F4-862D-42C3-A6A4-F51CC3FA62B8}" name="PivotTable33"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9:I24" firstHeaderRow="1" firstDataRow="1" firstDataCol="1"/>
  <pivotFields count="8">
    <pivotField showAll="0">
      <items count="5">
        <item x="1"/>
        <item x="0"/>
        <item x="3"/>
        <item x="2"/>
        <item t="default"/>
      </items>
    </pivotField>
    <pivotField showAll="0"/>
    <pivotField dataField="1" showAll="0"/>
    <pivotField showAll="0"/>
    <pivotField numFmtId="164"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axis="axisRow" showAll="0">
      <items count="5">
        <item x="1"/>
        <item x="3"/>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Expense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142AA9B-C311-4FDC-BF57-9E1EDEA5F8E2}" name="PivotTable32" cacheId="10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H3:I16" firstHeaderRow="1" firstDataRow="1" firstDataCol="1"/>
  <pivotFields count="8">
    <pivotField showAll="0">
      <items count="5">
        <item x="1"/>
        <item x="0"/>
        <item x="3"/>
        <item x="2"/>
        <item t="default"/>
      </items>
    </pivotField>
    <pivotField showAll="0"/>
    <pivotField dataField="1" showAll="0"/>
    <pivotField showAll="0"/>
    <pivotField axis="axisRow" numFmtId="164"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7"/>
    <field x="6"/>
    <field x="4"/>
  </rowFields>
  <rowItems count="13">
    <i>
      <x v="1"/>
    </i>
    <i>
      <x v="2"/>
    </i>
    <i>
      <x v="3"/>
    </i>
    <i>
      <x v="4"/>
    </i>
    <i>
      <x v="5"/>
    </i>
    <i>
      <x v="6"/>
    </i>
    <i>
      <x v="7"/>
    </i>
    <i>
      <x v="8"/>
    </i>
    <i>
      <x v="9"/>
    </i>
    <i>
      <x v="10"/>
    </i>
    <i>
      <x v="11"/>
    </i>
    <i>
      <x v="12"/>
    </i>
    <i t="grand">
      <x/>
    </i>
  </rowItems>
  <colItems count="1">
    <i/>
  </colItems>
  <dataFields count="1">
    <dataField name="Sum of Expense Amount"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1F9B7C0-4832-4142-8B45-D9AE8FC01611}" name="PivotTable39"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3:G34" firstHeaderRow="0" firstDataRow="1" firstDataCol="1"/>
  <pivotFields count="10">
    <pivotField dataField="1" showAll="0"/>
    <pivotField showAll="0">
      <items count="6">
        <item x="0"/>
        <item x="4"/>
        <item x="2"/>
        <item x="3"/>
        <item x="1"/>
        <item t="default"/>
      </items>
    </pivotField>
    <pivotField axis="axisRow" numFmtId="164" showAll="0">
      <items count="31">
        <item x="17"/>
        <item x="2"/>
        <item x="27"/>
        <item x="15"/>
        <item x="21"/>
        <item x="0"/>
        <item x="24"/>
        <item x="1"/>
        <item x="10"/>
        <item x="23"/>
        <item x="26"/>
        <item x="20"/>
        <item x="6"/>
        <item x="8"/>
        <item x="12"/>
        <item x="16"/>
        <item x="22"/>
        <item x="7"/>
        <item x="13"/>
        <item x="18"/>
        <item x="9"/>
        <item x="3"/>
        <item x="11"/>
        <item x="25"/>
        <item x="14"/>
        <item x="4"/>
        <item x="28"/>
        <item x="5"/>
        <item x="29"/>
        <item x="19"/>
        <item t="default"/>
      </items>
    </pivotField>
    <pivotField numFmtId="164" showAll="0"/>
    <pivotField showAll="0"/>
    <pivotField dataField="1" showAll="0"/>
    <pivotField showAll="0">
      <items count="3">
        <item x="1"/>
        <item x="0"/>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2"/>
  </rowFields>
  <rowItems count="11">
    <i>
      <x v="2"/>
    </i>
    <i>
      <x v="3"/>
    </i>
    <i>
      <x v="4"/>
    </i>
    <i>
      <x v="5"/>
    </i>
    <i>
      <x v="6"/>
    </i>
    <i>
      <x v="7"/>
    </i>
    <i>
      <x v="8"/>
    </i>
    <i>
      <x v="9"/>
    </i>
    <i>
      <x v="10"/>
    </i>
    <i>
      <x v="11"/>
    </i>
    <i t="grand">
      <x/>
    </i>
  </rowItems>
  <colFields count="1">
    <field x="-2"/>
  </colFields>
  <colItems count="2">
    <i>
      <x/>
    </i>
    <i i="1">
      <x v="1"/>
    </i>
  </colItems>
  <dataFields count="2">
    <dataField name="Sum of Order Value" fld="5" baseField="0" baseItem="0"/>
    <dataField name="Count of Order ID" fld="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838EB48-D811-46E5-9497-4803ACBF41CD}" name="PivotTable37"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3:J18" firstHeaderRow="1" firstDataRow="1" firstDataCol="1" rowPageCount="1" colPageCount="1"/>
  <pivotFields count="10">
    <pivotField dataField="1" showAll="0"/>
    <pivotField axis="axisRow" showAll="0">
      <items count="6">
        <item x="0"/>
        <item x="4"/>
        <item x="2"/>
        <item x="3"/>
        <item x="1"/>
        <item t="default"/>
      </items>
    </pivotField>
    <pivotField numFmtId="164" showAll="0">
      <items count="31">
        <item x="17"/>
        <item x="2"/>
        <item x="27"/>
        <item x="15"/>
        <item x="21"/>
        <item x="0"/>
        <item x="24"/>
        <item x="1"/>
        <item x="10"/>
        <item x="23"/>
        <item x="26"/>
        <item x="20"/>
        <item x="6"/>
        <item x="8"/>
        <item x="12"/>
        <item x="16"/>
        <item x="22"/>
        <item x="7"/>
        <item x="13"/>
        <item x="18"/>
        <item x="9"/>
        <item x="3"/>
        <item x="11"/>
        <item x="25"/>
        <item x="14"/>
        <item x="4"/>
        <item x="28"/>
        <item x="5"/>
        <item x="29"/>
        <item x="19"/>
        <item t="default"/>
      </items>
    </pivotField>
    <pivotField numFmtId="164" showAll="0"/>
    <pivotField showAll="0"/>
    <pivotField showAll="0"/>
    <pivotField axis="axisPage" multipleItemSelectionAllowed="1" showAll="0">
      <items count="3">
        <item x="1"/>
        <item h="1"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v="1"/>
    </i>
    <i>
      <x v="2"/>
    </i>
    <i>
      <x v="3"/>
    </i>
    <i>
      <x v="4"/>
    </i>
    <i t="grand">
      <x/>
    </i>
  </rowItems>
  <colItems count="1">
    <i/>
  </colItems>
  <pageFields count="1">
    <pageField fld="6" hier="-1"/>
  </pageField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15BE0FC1-C5B9-4BC6-AF63-113B197B204B}" name="PivotTable41"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A24" firstHeaderRow="1" firstDataRow="1" firstDataCol="0"/>
  <pivotFields count="10">
    <pivotField dataField="1" showAll="0"/>
    <pivotField showAll="0">
      <items count="6">
        <item x="0"/>
        <item x="4"/>
        <item x="2"/>
        <item x="3"/>
        <item x="1"/>
        <item t="default"/>
      </items>
    </pivotField>
    <pivotField numFmtId="164" showAll="0">
      <items count="31">
        <item x="17"/>
        <item x="2"/>
        <item x="27"/>
        <item x="15"/>
        <item x="21"/>
        <item x="0"/>
        <item x="24"/>
        <item x="1"/>
        <item x="10"/>
        <item x="23"/>
        <item x="26"/>
        <item x="20"/>
        <item x="6"/>
        <item x="8"/>
        <item x="12"/>
        <item x="16"/>
        <item x="22"/>
        <item x="7"/>
        <item x="13"/>
        <item x="18"/>
        <item x="9"/>
        <item x="3"/>
        <item x="11"/>
        <item x="25"/>
        <item x="14"/>
        <item x="4"/>
        <item x="28"/>
        <item x="5"/>
        <item x="29"/>
        <item x="19"/>
        <item t="default"/>
      </items>
    </pivotField>
    <pivotField numFmtId="164" showAll="0"/>
    <pivotField showAll="0">
      <items count="5">
        <item x="1"/>
        <item x="3"/>
        <item x="2"/>
        <item x="0"/>
        <item t="default"/>
      </items>
    </pivotField>
    <pivotField showAll="0"/>
    <pivotField showAll="0">
      <items count="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A80D794-387E-46B2-BB5B-274327437A00}" name="PivotTable36"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G21" firstHeaderRow="0" firstDataRow="1" firstDataCol="1"/>
  <pivotFields count="10">
    <pivotField dataField="1" showAll="0"/>
    <pivotField showAll="0">
      <items count="6">
        <item x="0"/>
        <item x="4"/>
        <item x="2"/>
        <item x="3"/>
        <item x="1"/>
        <item t="default"/>
      </items>
    </pivotField>
    <pivotField axis="axisRow" numFmtId="164" showAll="0">
      <items count="31">
        <item x="17"/>
        <item x="2"/>
        <item x="27"/>
        <item x="15"/>
        <item x="21"/>
        <item x="0"/>
        <item x="24"/>
        <item x="1"/>
        <item x="10"/>
        <item x="23"/>
        <item x="26"/>
        <item x="20"/>
        <item x="6"/>
        <item x="8"/>
        <item x="12"/>
        <item x="16"/>
        <item x="22"/>
        <item x="7"/>
        <item x="13"/>
        <item x="18"/>
        <item x="9"/>
        <item x="3"/>
        <item x="11"/>
        <item x="25"/>
        <item x="14"/>
        <item x="4"/>
        <item x="28"/>
        <item x="5"/>
        <item x="29"/>
        <item x="19"/>
        <item t="default"/>
      </items>
    </pivotField>
    <pivotField numFmtId="164" showAll="0"/>
    <pivotField showAll="0"/>
    <pivotField dataField="1" showAll="0"/>
    <pivotField showAll="0">
      <items count="3">
        <item x="1"/>
        <item x="0"/>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2"/>
  </rowFields>
  <rowItems count="11">
    <i>
      <x v="2"/>
    </i>
    <i>
      <x v="3"/>
    </i>
    <i>
      <x v="4"/>
    </i>
    <i>
      <x v="5"/>
    </i>
    <i>
      <x v="6"/>
    </i>
    <i>
      <x v="7"/>
    </i>
    <i>
      <x v="8"/>
    </i>
    <i>
      <x v="9"/>
    </i>
    <i>
      <x v="10"/>
    </i>
    <i>
      <x v="11"/>
    </i>
    <i t="grand">
      <x/>
    </i>
  </rowItems>
  <colFields count="1">
    <field x="-2"/>
  </colFields>
  <colItems count="2">
    <i>
      <x/>
    </i>
    <i i="1">
      <x v="1"/>
    </i>
  </colItems>
  <dataFields count="2">
    <dataField name="Count of Order ID" fld="0" subtotal="count" baseField="0" baseItem="0"/>
    <dataField name="Sum of Order Val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5DAA9A5E-D05C-406D-B8D7-007DA243DD0A}" name="PivotTable35"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8" firstHeaderRow="1" firstDataRow="1" firstDataCol="1"/>
  <pivotFields count="10">
    <pivotField showAll="0"/>
    <pivotField showAll="0">
      <items count="6">
        <item x="0"/>
        <item x="4"/>
        <item x="2"/>
        <item x="3"/>
        <item x="1"/>
        <item t="default"/>
      </items>
    </pivotField>
    <pivotField numFmtId="164" showAll="0">
      <items count="31">
        <item x="17"/>
        <item x="2"/>
        <item x="27"/>
        <item x="15"/>
        <item x="21"/>
        <item x="0"/>
        <item x="24"/>
        <item x="1"/>
        <item x="10"/>
        <item x="23"/>
        <item x="26"/>
        <item x="20"/>
        <item x="6"/>
        <item x="8"/>
        <item x="12"/>
        <item x="16"/>
        <item x="22"/>
        <item x="7"/>
        <item x="13"/>
        <item x="18"/>
        <item x="9"/>
        <item x="3"/>
        <item x="11"/>
        <item x="25"/>
        <item x="14"/>
        <item x="4"/>
        <item x="28"/>
        <item x="5"/>
        <item x="29"/>
        <item x="19"/>
        <item t="default"/>
      </items>
    </pivotField>
    <pivotField numFmtId="164" showAll="0"/>
    <pivotField axis="axisRow" showAll="0">
      <items count="5">
        <item x="1"/>
        <item x="3"/>
        <item x="2"/>
        <item x="0"/>
        <item t="default"/>
      </items>
    </pivotField>
    <pivotField showAll="0"/>
    <pivotField showAll="0">
      <items count="3">
        <item x="1"/>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Average of Delivery Duration (Days)" fld="7"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90E6AB1C-068E-42EC-881B-EF71375A6347}" name="PivotTable34"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pivotFields count="10">
    <pivotField dataField="1" showAll="0"/>
    <pivotField axis="axisRow" showAll="0">
      <items count="6">
        <item x="0"/>
        <item x="4"/>
        <item x="2"/>
        <item x="3"/>
        <item x="1"/>
        <item t="default"/>
      </items>
    </pivotField>
    <pivotField numFmtId="164" showAll="0">
      <items count="31">
        <item x="17"/>
        <item x="2"/>
        <item x="27"/>
        <item x="15"/>
        <item x="21"/>
        <item x="0"/>
        <item x="24"/>
        <item x="1"/>
        <item x="10"/>
        <item x="23"/>
        <item x="26"/>
        <item x="20"/>
        <item x="6"/>
        <item x="8"/>
        <item x="12"/>
        <item x="16"/>
        <item x="22"/>
        <item x="7"/>
        <item x="13"/>
        <item x="18"/>
        <item x="9"/>
        <item x="3"/>
        <item x="11"/>
        <item x="25"/>
        <item x="14"/>
        <item x="4"/>
        <item x="28"/>
        <item x="5"/>
        <item x="29"/>
        <item x="19"/>
        <item t="default"/>
      </items>
    </pivotField>
    <pivotField numFmtId="164" showAll="0"/>
    <pivotField showAll="0">
      <items count="5">
        <item x="1"/>
        <item x="3"/>
        <item x="2"/>
        <item x="0"/>
        <item t="default"/>
      </items>
    </pivotField>
    <pivotField showAll="0"/>
    <pivotField axis="axisRow" showAll="0">
      <items count="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
    <field x="6"/>
  </rowFields>
  <rowItems count="15">
    <i>
      <x/>
    </i>
    <i r="1">
      <x v="1"/>
    </i>
    <i>
      <x v="1"/>
    </i>
    <i r="1">
      <x/>
    </i>
    <i r="1">
      <x v="1"/>
    </i>
    <i>
      <x v="2"/>
    </i>
    <i r="1">
      <x/>
    </i>
    <i r="1">
      <x v="1"/>
    </i>
    <i>
      <x v="3"/>
    </i>
    <i r="1">
      <x/>
    </i>
    <i r="1">
      <x v="1"/>
    </i>
    <i>
      <x v="4"/>
    </i>
    <i r="1">
      <x/>
    </i>
    <i r="1">
      <x v="1"/>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15BADA5F-B61C-42E0-B1E9-2A5D5A8A5030}" name="PivotTable61"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8:P9" firstHeaderRow="1" firstDataRow="1" firstDataCol="0"/>
  <pivotFields count="8">
    <pivotField showAll="0">
      <items count="5">
        <item x="1"/>
        <item x="0"/>
        <item x="3"/>
        <item x="2"/>
        <item t="default"/>
      </items>
    </pivotField>
    <pivotField showAll="0">
      <items count="5">
        <item x="0"/>
        <item x="3"/>
        <item x="2"/>
        <item x="1"/>
        <item t="default"/>
      </items>
    </pivotField>
    <pivotField dataField="1" showAll="0"/>
    <pivotField showAll="0"/>
    <pivotField numFmtId="164"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Exp Amount" fld="2" baseField="0" baseItem="0"/>
  </dataFields>
  <formats count="10">
    <format dxfId="110">
      <pivotArea dataOnly="0" labelOnly="1" outline="0" axis="axisValues" fieldPosition="0"/>
    </format>
    <format dxfId="109">
      <pivotArea dataOnly="0" labelOnly="1" outline="0" axis="axisValues" fieldPosition="0"/>
    </format>
    <format dxfId="108">
      <pivotArea outline="0" collapsedLevelsAreSubtotals="1"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38D840FC-4125-4F02-A919-397E8D03FBC3}" name="PivotTable59"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location ref="N14:O19" firstHeaderRow="1" firstDataRow="1" firstDataCol="1"/>
  <pivotFields count="8">
    <pivotField showAll="0">
      <items count="5">
        <item x="1"/>
        <item x="0"/>
        <item x="3"/>
        <item x="2"/>
        <item t="default"/>
      </items>
    </pivotField>
    <pivotField showAll="0"/>
    <pivotField dataField="1" showAll="0"/>
    <pivotField showAll="0"/>
    <pivotField numFmtId="164"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axis="axisRow" showAll="0">
      <items count="5">
        <item x="1"/>
        <item x="3"/>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Expense Amount" fld="2" baseField="0" baseItem="0"/>
  </dataFields>
  <formats count="6">
    <format dxfId="116">
      <pivotArea type="all" dataOnly="0" outline="0" fieldPosition="0"/>
    </format>
    <format dxfId="115">
      <pivotArea outline="0" collapsedLevelsAreSubtotals="1" fieldPosition="0"/>
    </format>
    <format dxfId="114">
      <pivotArea field="5" type="button" dataOnly="0" labelOnly="1" outline="0" axis="axisRow" fieldPosition="0"/>
    </format>
    <format dxfId="113">
      <pivotArea dataOnly="0" labelOnly="1" fieldPosition="0">
        <references count="1">
          <reference field="5" count="0"/>
        </references>
      </pivotArea>
    </format>
    <format dxfId="112">
      <pivotArea dataOnly="0" labelOnly="1" grandRow="1" outline="0" fieldPosition="0"/>
    </format>
    <format dxfId="1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B238AF2E-224F-4DC6-8B4C-10F64ED7A522}" name="PivotTable58"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location ref="N21:P26" firstHeaderRow="0" firstDataRow="1" firstDataCol="1"/>
  <pivotFields count="8">
    <pivotField axis="axisRow" showAll="0">
      <items count="5">
        <item x="1"/>
        <item x="0"/>
        <item x="3"/>
        <item x="2"/>
        <item t="default"/>
      </items>
    </pivotField>
    <pivotField showAll="0"/>
    <pivotField dataField="1" showAll="0"/>
    <pivotField dataField="1" showAll="0"/>
    <pivotField numFmtId="164"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5">
    <i>
      <x/>
    </i>
    <i>
      <x v="1"/>
    </i>
    <i>
      <x v="2"/>
    </i>
    <i>
      <x v="3"/>
    </i>
    <i t="grand">
      <x/>
    </i>
  </rowItems>
  <colFields count="1">
    <field x="-2"/>
  </colFields>
  <colItems count="2">
    <i>
      <x/>
    </i>
    <i i="1">
      <x v="1"/>
    </i>
  </colItems>
  <dataFields count="2">
    <dataField name="Sum of Budget" fld="3" baseField="0" baseItem="0"/>
    <dataField name="Sum of Expense Amount" fld="2" baseField="0" baseItem="0"/>
  </dataFields>
  <formats count="6">
    <format dxfId="122">
      <pivotArea type="all" dataOnly="0" outline="0" fieldPosition="0"/>
    </format>
    <format dxfId="121">
      <pivotArea outline="0" collapsedLevelsAreSubtotals="1" fieldPosition="0"/>
    </format>
    <format dxfId="120">
      <pivotArea field="0" type="button" dataOnly="0" labelOnly="1" outline="0" axis="axisRow" fieldPosition="0"/>
    </format>
    <format dxfId="119">
      <pivotArea dataOnly="0" labelOnly="1" fieldPosition="0">
        <references count="1">
          <reference field="0" count="0"/>
        </references>
      </pivotArea>
    </format>
    <format dxfId="118">
      <pivotArea dataOnly="0" labelOnly="1" grandRow="1" outline="0" fieldPosition="0"/>
    </format>
    <format dxfId="117">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5CBD8033-A688-4495-9BB6-216A6A12C7AB}" name="PivotTable57" cacheId="10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Month">
  <location ref="K21:L34" firstHeaderRow="1" firstDataRow="1" firstDataCol="1"/>
  <pivotFields count="8">
    <pivotField showAll="0">
      <items count="5">
        <item x="1"/>
        <item x="0"/>
        <item x="3"/>
        <item x="2"/>
        <item t="default"/>
      </items>
    </pivotField>
    <pivotField showAll="0"/>
    <pivotField dataField="1" showAll="0"/>
    <pivotField showAll="0"/>
    <pivotField axis="axisRow" numFmtId="164"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7"/>
    <field x="6"/>
    <field x="4"/>
  </rowFields>
  <rowItems count="13">
    <i>
      <x v="1"/>
    </i>
    <i>
      <x v="2"/>
    </i>
    <i>
      <x v="3"/>
    </i>
    <i>
      <x v="4"/>
    </i>
    <i>
      <x v="5"/>
    </i>
    <i>
      <x v="6"/>
    </i>
    <i>
      <x v="7"/>
    </i>
    <i>
      <x v="8"/>
    </i>
    <i>
      <x v="9"/>
    </i>
    <i>
      <x v="10"/>
    </i>
    <i>
      <x v="11"/>
    </i>
    <i>
      <x v="12"/>
    </i>
    <i t="grand">
      <x/>
    </i>
  </rowItems>
  <colItems count="1">
    <i/>
  </colItems>
  <dataFields count="1">
    <dataField name="Total Expense Amount" fld="2" baseField="7" baseItem="1"/>
  </dataFields>
  <formats count="6">
    <format dxfId="128">
      <pivotArea type="all" dataOnly="0" outline="0" fieldPosition="0"/>
    </format>
    <format dxfId="127">
      <pivotArea outline="0" collapsedLevelsAreSubtotals="1" fieldPosition="0"/>
    </format>
    <format dxfId="126">
      <pivotArea field="7" type="button" dataOnly="0" labelOnly="1" outline="0" axis="axisRow" fieldPosition="0"/>
    </format>
    <format dxfId="125">
      <pivotArea dataOnly="0" labelOnly="1" fieldPosition="0">
        <references count="1">
          <reference field="7" count="12">
            <x v="1"/>
            <x v="2"/>
            <x v="3"/>
            <x v="4"/>
            <x v="5"/>
            <x v="6"/>
            <x v="7"/>
            <x v="8"/>
            <x v="9"/>
            <x v="10"/>
            <x v="11"/>
            <x v="12"/>
          </reference>
        </references>
      </pivotArea>
    </format>
    <format dxfId="124">
      <pivotArea dataOnly="0" labelOnly="1" grandRow="1" outline="0" fieldPosition="0"/>
    </format>
    <format dxfId="12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49545CC0-E18B-4A6A-A923-EA08FA764738}" name="PivotTable63"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xpense Catogory">
  <location ref="K14:L19" firstHeaderRow="1" firstDataRow="1" firstDataCol="1"/>
  <pivotFields count="8">
    <pivotField showAll="0">
      <items count="5">
        <item x="1"/>
        <item x="0"/>
        <item x="3"/>
        <item x="2"/>
        <item t="default"/>
      </items>
    </pivotField>
    <pivotField axis="axisRow" showAll="0">
      <items count="5">
        <item x="0"/>
        <item x="3"/>
        <item x="2"/>
        <item x="1"/>
        <item t="default"/>
      </items>
    </pivotField>
    <pivotField showAll="0"/>
    <pivotField dataField="1" showAll="0"/>
    <pivotField numFmtId="164"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Budget" fld="3" showDataAs="percentOfTotal" baseField="0" baseItem="0" numFmtId="10"/>
  </dataFields>
  <formats count="6">
    <format dxfId="134">
      <pivotArea type="all" dataOnly="0" outline="0" fieldPosition="0"/>
    </format>
    <format dxfId="133">
      <pivotArea outline="0" collapsedLevelsAreSubtotals="1" fieldPosition="0"/>
    </format>
    <format dxfId="132">
      <pivotArea field="1" type="button" dataOnly="0" labelOnly="1" outline="0" axis="axisRow" fieldPosition="0"/>
    </format>
    <format dxfId="131">
      <pivotArea dataOnly="0" labelOnly="1" fieldPosition="0">
        <references count="1">
          <reference field="1" count="0"/>
        </references>
      </pivotArea>
    </format>
    <format dxfId="130">
      <pivotArea dataOnly="0" labelOnly="1" grandRow="1" outline="0" fieldPosition="0"/>
    </format>
    <format dxfId="1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22200410-40A5-489F-BF3E-A129D68889B3}" name="PivotTable62"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6:P7" firstHeaderRow="1" firstDataRow="1" firstDataCol="0"/>
  <pivotFields count="8">
    <pivotField showAll="0">
      <items count="5">
        <item x="1"/>
        <item x="0"/>
        <item x="3"/>
        <item x="2"/>
        <item t="default"/>
      </items>
    </pivotField>
    <pivotField showAll="0">
      <items count="5">
        <item x="0"/>
        <item x="3"/>
        <item x="2"/>
        <item x="1"/>
        <item t="default"/>
      </items>
    </pivotField>
    <pivotField showAll="0"/>
    <pivotField dataField="1" showAll="0"/>
    <pivotField numFmtId="164"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Budget" fld="3" baseField="0" baseItem="0"/>
  </dataFields>
  <formats count="8">
    <format dxfId="142">
      <pivotArea dataOnly="0" outline="0" axis="axisValues" fieldPosition="0"/>
    </format>
    <format dxfId="141">
      <pivotArea dataOnly="0" outline="0" axis="axisValues" fieldPosition="0"/>
    </format>
    <format dxfId="140">
      <pivotArea dataOnly="0" outline="0" axis="axisValues" fieldPosition="0"/>
    </format>
    <format dxfId="139">
      <pivotArea outline="0" collapsedLevelsAreSubtotals="1" fieldPosition="0"/>
    </format>
    <format dxfId="138">
      <pivotArea dataOnly="0" labelOnly="1" outline="0" axis="axisValues" fieldPosition="0"/>
    </format>
    <format dxfId="137">
      <pivotArea type="all" dataOnly="0" outline="0" fieldPosition="0"/>
    </format>
    <format dxfId="136">
      <pivotArea outline="0" collapsedLevelsAreSubtotals="1" fieldPosition="0"/>
    </format>
    <format dxfId="1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58935290-ABD1-4BF7-9AAA-6E5C2B91970F}" name="PivotTable71"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O29:P40" firstHeaderRow="1" firstDataRow="1" firstDataCol="1"/>
  <pivotFields count="10">
    <pivotField showAll="0"/>
    <pivotField showAll="0">
      <items count="6">
        <item x="0"/>
        <item x="4"/>
        <item x="2"/>
        <item x="3"/>
        <item x="1"/>
        <item t="default"/>
      </items>
    </pivotField>
    <pivotField axis="axisRow" numFmtId="164" showAll="0">
      <items count="31">
        <item x="17"/>
        <item x="2"/>
        <item x="27"/>
        <item x="15"/>
        <item x="21"/>
        <item x="0"/>
        <item x="24"/>
        <item x="1"/>
        <item x="10"/>
        <item x="23"/>
        <item x="26"/>
        <item x="20"/>
        <item x="6"/>
        <item x="8"/>
        <item x="12"/>
        <item x="16"/>
        <item x="22"/>
        <item x="7"/>
        <item x="13"/>
        <item x="18"/>
        <item x="9"/>
        <item x="3"/>
        <item x="11"/>
        <item x="25"/>
        <item x="14"/>
        <item x="4"/>
        <item x="28"/>
        <item x="5"/>
        <item x="29"/>
        <item x="19"/>
        <item t="default"/>
      </items>
    </pivotField>
    <pivotField numFmtId="164" showAll="0"/>
    <pivotField showAll="0"/>
    <pivotField dataField="1" showAll="0"/>
    <pivotField showAll="0">
      <items count="3">
        <item x="1"/>
        <item x="0"/>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2"/>
  </rowFields>
  <rowItems count="11">
    <i>
      <x v="2"/>
    </i>
    <i>
      <x v="3"/>
    </i>
    <i>
      <x v="4"/>
    </i>
    <i>
      <x v="5"/>
    </i>
    <i>
      <x v="6"/>
    </i>
    <i>
      <x v="7"/>
    </i>
    <i>
      <x v="8"/>
    </i>
    <i>
      <x v="9"/>
    </i>
    <i>
      <x v="10"/>
    </i>
    <i>
      <x v="11"/>
    </i>
    <i t="grand">
      <x/>
    </i>
  </rowItems>
  <colItems count="1">
    <i/>
  </colItems>
  <dataFields count="1">
    <dataField name="Total Order Value" fld="5" baseField="9" baseItem="2"/>
  </dataFields>
  <formats count="6">
    <format dxfId="63">
      <pivotArea type="all" dataOnly="0" outline="0" fieldPosition="0"/>
    </format>
    <format dxfId="62">
      <pivotArea outline="0" collapsedLevelsAreSubtotals="1" fieldPosition="0"/>
    </format>
    <format dxfId="61">
      <pivotArea field="9" type="button" dataOnly="0" labelOnly="1" outline="0" axis="axisRow" fieldPosition="0"/>
    </format>
    <format dxfId="60">
      <pivotArea dataOnly="0" labelOnly="1" fieldPosition="0">
        <references count="1">
          <reference field="9" count="10">
            <x v="2"/>
            <x v="3"/>
            <x v="4"/>
            <x v="5"/>
            <x v="6"/>
            <x v="7"/>
            <x v="8"/>
            <x v="9"/>
            <x v="10"/>
            <x v="11"/>
          </reference>
        </references>
      </pivotArea>
    </format>
    <format dxfId="59">
      <pivotArea dataOnly="0" labelOnly="1" grandRow="1" outline="0" fieldPosition="0"/>
    </format>
    <format dxfId="5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2F2F81F9-D3B8-4A3C-B499-677DEAE29F36}" name="PivotTable70"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O16:Q27" firstHeaderRow="0" firstDataRow="1" firstDataCol="1"/>
  <pivotFields count="10">
    <pivotField dataField="1" showAll="0"/>
    <pivotField showAll="0">
      <items count="6">
        <item x="0"/>
        <item x="4"/>
        <item x="2"/>
        <item x="3"/>
        <item x="1"/>
        <item t="default"/>
      </items>
    </pivotField>
    <pivotField axis="axisRow" numFmtId="164" showAll="0">
      <items count="31">
        <item x="17"/>
        <item x="2"/>
        <item x="27"/>
        <item x="15"/>
        <item x="21"/>
        <item x="0"/>
        <item x="24"/>
        <item x="1"/>
        <item x="10"/>
        <item x="23"/>
        <item x="26"/>
        <item x="20"/>
        <item x="6"/>
        <item x="8"/>
        <item x="12"/>
        <item x="16"/>
        <item x="22"/>
        <item x="7"/>
        <item x="13"/>
        <item x="18"/>
        <item x="9"/>
        <item x="3"/>
        <item x="11"/>
        <item x="25"/>
        <item x="14"/>
        <item x="4"/>
        <item x="28"/>
        <item x="5"/>
        <item x="29"/>
        <item x="19"/>
        <item t="default"/>
      </items>
    </pivotField>
    <pivotField numFmtId="164" showAll="0"/>
    <pivotField showAll="0"/>
    <pivotField dataField="1" showAll="0"/>
    <pivotField showAll="0">
      <items count="3">
        <item x="1"/>
        <item x="0"/>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2"/>
  </rowFields>
  <rowItems count="11">
    <i>
      <x v="2"/>
    </i>
    <i>
      <x v="3"/>
    </i>
    <i>
      <x v="4"/>
    </i>
    <i>
      <x v="5"/>
    </i>
    <i>
      <x v="6"/>
    </i>
    <i>
      <x v="7"/>
    </i>
    <i>
      <x v="8"/>
    </i>
    <i>
      <x v="9"/>
    </i>
    <i>
      <x v="10"/>
    </i>
    <i>
      <x v="11"/>
    </i>
    <i t="grand">
      <x/>
    </i>
  </rowItems>
  <colFields count="1">
    <field x="-2"/>
  </colFields>
  <colItems count="2">
    <i>
      <x/>
    </i>
    <i i="1">
      <x v="1"/>
    </i>
  </colItems>
  <dataFields count="2">
    <dataField name="Order Count" fld="0" subtotal="count" baseField="9" baseItem="2"/>
    <dataField name="Total Order Value" fld="5" baseField="9" baseItem="2"/>
  </dataFields>
  <formats count="6">
    <format dxfId="69">
      <pivotArea type="all" dataOnly="0" outline="0" fieldPosition="0"/>
    </format>
    <format dxfId="68">
      <pivotArea outline="0" collapsedLevelsAreSubtotals="1" fieldPosition="0"/>
    </format>
    <format dxfId="67">
      <pivotArea field="9" type="button" dataOnly="0" labelOnly="1" outline="0" axis="axisRow" fieldPosition="0"/>
    </format>
    <format dxfId="66">
      <pivotArea dataOnly="0" labelOnly="1" fieldPosition="0">
        <references count="1">
          <reference field="9" count="10">
            <x v="2"/>
            <x v="3"/>
            <x v="4"/>
            <x v="5"/>
            <x v="6"/>
            <x v="7"/>
            <x v="8"/>
            <x v="9"/>
            <x v="10"/>
            <x v="11"/>
          </reference>
        </references>
      </pivotArea>
    </format>
    <format dxfId="65">
      <pivotArea dataOnly="0" labelOnly="1" grandRow="1" outline="0" fieldPosition="0"/>
    </format>
    <format dxfId="6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CE3F37D9-63AA-43D2-B8B2-896387027E38}" name="PivotTable69"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ustomer/Delivery Status">
  <location ref="L35:M40" firstHeaderRow="1" firstDataRow="1" firstDataCol="1" rowPageCount="1" colPageCount="1"/>
  <pivotFields count="10">
    <pivotField dataField="1" showAll="0"/>
    <pivotField axis="axisRow" showAll="0">
      <items count="6">
        <item x="0"/>
        <item x="4"/>
        <item x="2"/>
        <item x="3"/>
        <item x="1"/>
        <item t="default"/>
      </items>
    </pivotField>
    <pivotField numFmtId="164" showAll="0">
      <items count="31">
        <item x="17"/>
        <item x="2"/>
        <item x="27"/>
        <item x="15"/>
        <item x="21"/>
        <item x="0"/>
        <item x="24"/>
        <item x="1"/>
        <item x="10"/>
        <item x="23"/>
        <item x="26"/>
        <item x="20"/>
        <item x="6"/>
        <item x="8"/>
        <item x="12"/>
        <item x="16"/>
        <item x="22"/>
        <item x="7"/>
        <item x="13"/>
        <item x="18"/>
        <item x="9"/>
        <item x="3"/>
        <item x="11"/>
        <item x="25"/>
        <item x="14"/>
        <item x="4"/>
        <item x="28"/>
        <item x="5"/>
        <item x="29"/>
        <item x="19"/>
        <item t="default"/>
      </items>
    </pivotField>
    <pivotField numFmtId="164" showAll="0"/>
    <pivotField showAll="0"/>
    <pivotField showAll="0"/>
    <pivotField axis="axisPage" multipleItemSelectionAllowed="1" showAll="0">
      <items count="3">
        <item x="1"/>
        <item h="1"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v="1"/>
    </i>
    <i>
      <x v="2"/>
    </i>
    <i>
      <x v="3"/>
    </i>
    <i>
      <x v="4"/>
    </i>
    <i t="grand">
      <x/>
    </i>
  </rowItems>
  <colItems count="1">
    <i/>
  </colItems>
  <pageFields count="1">
    <pageField fld="6" hier="-1"/>
  </pageFields>
  <dataFields count="1">
    <dataField name="Order Count" fld="0" subtotal="count" baseField="1" baseItem="1"/>
  </dataFields>
  <formats count="7">
    <format dxfId="76">
      <pivotArea type="all" dataOnly="0" outline="0" fieldPosition="0"/>
    </format>
    <format dxfId="75">
      <pivotArea outline="0" collapsedLevelsAreSubtotals="1" fieldPosition="0"/>
    </format>
    <format dxfId="74">
      <pivotArea field="1" type="button" dataOnly="0" labelOnly="1" outline="0" axis="axisRow" fieldPosition="0"/>
    </format>
    <format dxfId="73">
      <pivotArea dataOnly="0" labelOnly="1" fieldPosition="0">
        <references count="1">
          <reference field="1" count="4">
            <x v="1"/>
            <x v="2"/>
            <x v="3"/>
            <x v="4"/>
          </reference>
        </references>
      </pivotArea>
    </format>
    <format dxfId="72">
      <pivotArea dataOnly="0" labelOnly="1" grandRow="1" outline="0" fieldPosition="0"/>
    </format>
    <format dxfId="71">
      <pivotArea dataOnly="0" labelOnly="1" outline="0" axis="axisValues" fieldPosition="0"/>
    </format>
    <format dxfId="7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3A5145A7-5DD9-4E74-BC33-72521754B06D}" name="PivotTable68"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L24:M29" firstHeaderRow="1" firstDataRow="1" firstDataCol="1"/>
  <pivotFields count="10">
    <pivotField showAll="0"/>
    <pivotField showAll="0">
      <items count="6">
        <item x="0"/>
        <item x="4"/>
        <item x="2"/>
        <item x="3"/>
        <item x="1"/>
        <item t="default"/>
      </items>
    </pivotField>
    <pivotField numFmtId="164" showAll="0">
      <items count="31">
        <item x="17"/>
        <item x="2"/>
        <item x="27"/>
        <item x="15"/>
        <item x="21"/>
        <item x="0"/>
        <item x="24"/>
        <item x="1"/>
        <item x="10"/>
        <item x="23"/>
        <item x="26"/>
        <item x="20"/>
        <item x="6"/>
        <item x="8"/>
        <item x="12"/>
        <item x="16"/>
        <item x="22"/>
        <item x="7"/>
        <item x="13"/>
        <item x="18"/>
        <item x="9"/>
        <item x="3"/>
        <item x="11"/>
        <item x="25"/>
        <item x="14"/>
        <item x="4"/>
        <item x="28"/>
        <item x="5"/>
        <item x="29"/>
        <item x="19"/>
        <item t="default"/>
      </items>
    </pivotField>
    <pivotField numFmtId="164" showAll="0"/>
    <pivotField axis="axisRow" showAll="0">
      <items count="5">
        <item x="1"/>
        <item x="3"/>
        <item x="2"/>
        <item x="0"/>
        <item t="default"/>
      </items>
    </pivotField>
    <pivotField showAll="0"/>
    <pivotField showAll="0">
      <items count="3">
        <item x="1"/>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Average of Delivery Duration (Days)" fld="7" subtotal="average" baseField="4" baseItem="0"/>
  </dataFields>
  <formats count="6">
    <format dxfId="82">
      <pivotArea type="all" dataOnly="0" outline="0" fieldPosition="0"/>
    </format>
    <format dxfId="81">
      <pivotArea outline="0" collapsedLevelsAreSubtotals="1" fieldPosition="0"/>
    </format>
    <format dxfId="80">
      <pivotArea field="4" type="button" dataOnly="0" labelOnly="1" outline="0" axis="axisRow" fieldPosition="0"/>
    </format>
    <format dxfId="79">
      <pivotArea dataOnly="0" labelOnly="1" fieldPosition="0">
        <references count="1">
          <reference field="4" count="0"/>
        </references>
      </pivotArea>
    </format>
    <format dxfId="78">
      <pivotArea dataOnly="0" labelOnly="1" grandRow="1" outline="0" fieldPosition="0"/>
    </format>
    <format dxfId="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6BA9BDD9-BBF7-458B-909C-2ACB591D7BA1}" name="PivotTable64"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Delivery Status">
  <location ref="L7:M22" firstHeaderRow="1" firstDataRow="1" firstDataCol="1"/>
  <pivotFields count="10">
    <pivotField dataField="1" showAll="0"/>
    <pivotField axis="axisRow" showAll="0">
      <items count="6">
        <item x="0"/>
        <item x="4"/>
        <item x="2"/>
        <item x="3"/>
        <item x="1"/>
        <item t="default"/>
      </items>
    </pivotField>
    <pivotField numFmtId="164" showAll="0">
      <items count="31">
        <item x="17"/>
        <item x="2"/>
        <item x="27"/>
        <item x="15"/>
        <item x="21"/>
        <item x="0"/>
        <item x="24"/>
        <item x="1"/>
        <item x="10"/>
        <item x="23"/>
        <item x="26"/>
        <item x="20"/>
        <item x="6"/>
        <item x="8"/>
        <item x="12"/>
        <item x="16"/>
        <item x="22"/>
        <item x="7"/>
        <item x="13"/>
        <item x="18"/>
        <item x="9"/>
        <item x="3"/>
        <item x="11"/>
        <item x="25"/>
        <item x="14"/>
        <item x="4"/>
        <item x="28"/>
        <item x="5"/>
        <item x="29"/>
        <item x="19"/>
        <item t="default"/>
      </items>
    </pivotField>
    <pivotField numFmtId="164" showAll="0"/>
    <pivotField showAll="0">
      <items count="5">
        <item x="1"/>
        <item x="3"/>
        <item x="2"/>
        <item x="0"/>
        <item t="default"/>
      </items>
    </pivotField>
    <pivotField showAll="0"/>
    <pivotField axis="axisRow" showAll="0">
      <items count="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
    <field x="6"/>
  </rowFields>
  <rowItems count="15">
    <i>
      <x/>
    </i>
    <i r="1">
      <x v="1"/>
    </i>
    <i>
      <x v="1"/>
    </i>
    <i r="1">
      <x/>
    </i>
    <i r="1">
      <x v="1"/>
    </i>
    <i>
      <x v="2"/>
    </i>
    <i r="1">
      <x/>
    </i>
    <i r="1">
      <x v="1"/>
    </i>
    <i>
      <x v="3"/>
    </i>
    <i r="1">
      <x/>
    </i>
    <i r="1">
      <x v="1"/>
    </i>
    <i>
      <x v="4"/>
    </i>
    <i r="1">
      <x/>
    </i>
    <i r="1">
      <x v="1"/>
    </i>
    <i t="grand">
      <x/>
    </i>
  </rowItems>
  <colItems count="1">
    <i/>
  </colItems>
  <dataFields count="1">
    <dataField name="Order Count" fld="0" subtotal="count" baseField="1" baseItem="0"/>
  </dataFields>
  <formats count="18">
    <format dxfId="100">
      <pivotArea type="all" dataOnly="0" outline="0" fieldPosition="0"/>
    </format>
    <format dxfId="99">
      <pivotArea field="1" type="button" dataOnly="0" labelOnly="1" outline="0" axis="axisRow" fieldPosition="0"/>
    </format>
    <format dxfId="98">
      <pivotArea dataOnly="0" labelOnly="1" outline="0" axis="axisValues" fieldPosition="0"/>
    </format>
    <format dxfId="97">
      <pivotArea field="1" type="button" dataOnly="0" labelOnly="1" outline="0" axis="axisRow" fieldPosition="0"/>
    </format>
    <format dxfId="96">
      <pivotArea field="1" type="button" dataOnly="0" labelOnly="1" outline="0" axis="axisRow"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1" type="button" dataOnly="0" labelOnly="1" outline="0" axis="axisRow" fieldPosition="0"/>
    </format>
    <format dxfId="91">
      <pivotArea dataOnly="0" labelOnly="1" fieldPosition="0">
        <references count="1">
          <reference field="1" count="0"/>
        </references>
      </pivotArea>
    </format>
    <format dxfId="90">
      <pivotArea dataOnly="0" labelOnly="1" grandRow="1" outline="0" fieldPosition="0"/>
    </format>
    <format dxfId="89">
      <pivotArea dataOnly="0" labelOnly="1" fieldPosition="0">
        <references count="2">
          <reference field="1" count="1" selected="0">
            <x v="0"/>
          </reference>
          <reference field="6" count="1">
            <x v="1"/>
          </reference>
        </references>
      </pivotArea>
    </format>
    <format dxfId="88">
      <pivotArea dataOnly="0" labelOnly="1" fieldPosition="0">
        <references count="2">
          <reference field="1" count="1" selected="0">
            <x v="1"/>
          </reference>
          <reference field="6" count="0"/>
        </references>
      </pivotArea>
    </format>
    <format dxfId="87">
      <pivotArea dataOnly="0" labelOnly="1" fieldPosition="0">
        <references count="2">
          <reference field="1" count="1" selected="0">
            <x v="2"/>
          </reference>
          <reference field="6" count="0"/>
        </references>
      </pivotArea>
    </format>
    <format dxfId="86">
      <pivotArea dataOnly="0" labelOnly="1" fieldPosition="0">
        <references count="2">
          <reference field="1" count="1" selected="0">
            <x v="3"/>
          </reference>
          <reference field="6" count="0"/>
        </references>
      </pivotArea>
    </format>
    <format dxfId="85">
      <pivotArea dataOnly="0" labelOnly="1" fieldPosition="0">
        <references count="2">
          <reference field="1" count="1" selected="0">
            <x v="4"/>
          </reference>
          <reference field="6" count="0"/>
        </references>
      </pivotArea>
    </format>
    <format dxfId="84">
      <pivotArea dataOnly="0" labelOnly="1" outline="0" axis="axisValues" fieldPosition="0"/>
    </format>
    <format dxfId="8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D847A6-6671-49DA-A573-2346AE1B95D1}" sourceName="Region">
  <pivotTables>
    <pivotTable tabId="7" name="PivotTable4"/>
    <pivotTable tabId="7" name="PivotTable5"/>
    <pivotTable tabId="7" name="PivotTable6"/>
    <pivotTable tabId="7" name="PivotTable7"/>
    <pivotTable tabId="7" name="PivotTable8"/>
  </pivotTables>
  <data>
    <tabular pivotCacheId="171618086">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55AFEFD-6E14-4E51-AFE4-7E7564DC1175}" sourceName="Product">
  <pivotTables>
    <pivotTable tabId="7" name="PivotTable4"/>
    <pivotTable tabId="7" name="PivotTable5"/>
    <pivotTable tabId="7" name="PivotTable6"/>
    <pivotTable tabId="7" name="PivotTable7"/>
    <pivotTable tabId="7" name="PivotTable8"/>
  </pivotTables>
  <data>
    <tabular pivotCacheId="171618086">
      <items count="5">
        <i x="2" s="1"/>
        <i x="3"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25230845-D2F1-494A-AD67-0B938E8FFAEC}" sourceName="Warehouse">
  <pivotTables>
    <pivotTable tabId="12" name="PivotTable20"/>
    <pivotTable tabId="12" name="PivotTable21"/>
    <pivotTable tabId="12" name="PivotTable22"/>
    <pivotTable tabId="12" name="PivotTable26"/>
    <pivotTable tabId="12" name="PivotTable52"/>
  </pivotTables>
  <data>
    <tabular pivotCacheId="116642415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A859C7F6-3E33-4D67-8364-6C7EEB57B655}" sourceName="Delivery Status">
  <pivotTables>
    <pivotTable tabId="15" name="PivotTable34"/>
    <pivotTable tabId="17" name="PivotTable64"/>
  </pivotTables>
  <data>
    <tabular pivotCacheId="912632736">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6DD7DF8B-E4B0-46BF-AAC5-107D39270B43}" sourceName="Product">
  <pivotTables>
    <pivotTable tabId="15" name="PivotTable34"/>
    <pivotTable tabId="17" name="PivotTable64"/>
  </pivotTables>
  <data>
    <tabular pivotCacheId="912632736">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ABAC682-6B82-45ED-99A0-1454FDABE361}" cache="Slicer_Region" caption="Region" rowHeight="241300"/>
  <slicer name="Product" xr10:uid="{5A290273-0098-437C-BC51-4315A0BB7232}"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xr10:uid="{1A792D1F-5D35-4FFE-ACB5-B2E733A8D354}" cache="Slicer_Warehouse" caption="Warehous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Status" xr10:uid="{1F364C78-7CDF-4F1F-939B-C4CF781EA7C6}" cache="Slicer_Delivery_Status" caption="Delivery Status" rowHeight="241300"/>
  <slicer name="Product 1" xr10:uid="{A0B96029-8692-4B1A-817A-7E0F2A0E3983}" cache="Slicer_Product1" caption="Product"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Status 1" xr10:uid="{6560FA7B-5FF9-45A9-8DC4-B112D642D430}" cache="Slicer_Delivery_Status" caption="Delivery Status" rowHeight="241300"/>
  <slicer name="Product 2" xr10:uid="{2487E056-39E3-4E8F-86CF-D35DD63401FB}" cache="Slicer_Product1"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_Date" xr10:uid="{45B4D1FC-2EEF-496B-86E0-26E6BB018849}" sourceName="Join Date">
  <pivotTables>
    <pivotTable tabId="9" name="PivotTable15"/>
    <pivotTable tabId="9" name="PivotTable10"/>
    <pivotTable tabId="9" name="PivotTable12"/>
    <pivotTable tabId="9" name="PivotTable14"/>
    <pivotTable tabId="9" name="PivotTable9"/>
    <pivotTable tabId="9" name="PivotTable44"/>
    <pivotTable tabId="9" name="PivotTable50"/>
    <pivotTable tabId="9" name="PivotTable51"/>
    <pivotTable tabId="9" name="PivotTable72"/>
  </pivotTables>
  <state minimalRefreshVersion="6" lastRefreshVersion="6" pivotCacheId="1438594525" filterType="unknown">
    <bounds startDate="2020-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E5D0C97-591B-4C06-8DB0-615115C17BC8}" sourceName="Date">
  <pivotTables>
    <pivotTable tabId="13" name="PivotTable32"/>
    <pivotTable tabId="16" name="PivotTable57"/>
  </pivotTables>
  <state minimalRefreshVersion="6" lastRefreshVersion="6" pivotCacheId="1317670019"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 Date" xr10:uid="{788325FE-D5D7-44C0-ADC2-794764876B8D}" cache="NativeTimeline_Join_Date" caption="Join Date" level="2" selectionLevel="2"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3095DD3-EC28-43C5-A453-7A6CA13E4794}" cache="NativeTimeline_Date" caption="Date" level="2" selectionLevel="2" scrollPosition="2023-06-07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C64F218-4DED-4DA4-99FF-3E4BCD987F22}" cache="NativeTimeline_Date" caption="Date" level="2" selectionLevel="2" scrollPosition="2023-01-01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microsoft.com/office/2011/relationships/timeline" Target="../timelines/timeline1.xml"/><Relationship Id="rId5" Type="http://schemas.openxmlformats.org/officeDocument/2006/relationships/pivotTable" Target="../pivotTables/pivotTable10.xml"/><Relationship Id="rId10" Type="http://schemas.openxmlformats.org/officeDocument/2006/relationships/drawing" Target="../drawings/drawing2.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7.xml"/><Relationship Id="rId7" Type="http://schemas.microsoft.com/office/2007/relationships/slicer" Target="../slicers/slicer2.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drawing" Target="../drawings/drawing3.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7.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22.xml"/><Relationship Id="rId7" Type="http://schemas.openxmlformats.org/officeDocument/2006/relationships/drawing" Target="../drawings/drawing4.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5" Type="http://schemas.openxmlformats.org/officeDocument/2006/relationships/pivotTable" Target="../pivotTables/pivotTable24.xml"/><Relationship Id="rId4" Type="http://schemas.openxmlformats.org/officeDocument/2006/relationships/pivotTable" Target="../pivotTables/pivotTable23.xml"/></Relationships>
</file>

<file path=xl/worksheets/_rels/sheet9.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28.xml"/><Relationship Id="rId7" Type="http://schemas.openxmlformats.org/officeDocument/2006/relationships/drawing" Target="../drawings/drawing5.xml"/><Relationship Id="rId2" Type="http://schemas.openxmlformats.org/officeDocument/2006/relationships/pivotTable" Target="../pivotTables/pivotTable27.xml"/><Relationship Id="rId1" Type="http://schemas.openxmlformats.org/officeDocument/2006/relationships/pivotTable" Target="../pivotTables/pivotTable26.xml"/><Relationship Id="rId6" Type="http://schemas.openxmlformats.org/officeDocument/2006/relationships/pivotTable" Target="../pivotTables/pivotTable31.xml"/><Relationship Id="rId5" Type="http://schemas.openxmlformats.org/officeDocument/2006/relationships/pivotTable" Target="../pivotTables/pivotTable30.xml"/><Relationship Id="rId4" Type="http://schemas.openxmlformats.org/officeDocument/2006/relationships/pivotTable" Target="../pivotTables/pivotTable29.xml"/></Relationships>
</file>

<file path=xl/worksheets/_rels/sheet10.xml.rels><?xml version="1.0" encoding="UTF-8" standalone="yes"?>
<Relationships xmlns="http://schemas.openxmlformats.org/package/2006/relationships"><Relationship Id="rId8" Type="http://schemas.microsoft.com/office/2011/relationships/timeline" Target="../timelines/timeline3.xml"/><Relationship Id="rId3" Type="http://schemas.openxmlformats.org/officeDocument/2006/relationships/pivotTable" Target="../pivotTables/pivotTable34.xml"/><Relationship Id="rId7" Type="http://schemas.openxmlformats.org/officeDocument/2006/relationships/drawing" Target="../drawings/drawing6.xml"/><Relationship Id="rId2" Type="http://schemas.openxmlformats.org/officeDocument/2006/relationships/pivotTable" Target="../pivotTables/pivotTable33.xml"/><Relationship Id="rId1" Type="http://schemas.openxmlformats.org/officeDocument/2006/relationships/pivotTable" Target="../pivotTables/pivotTable32.xml"/><Relationship Id="rId6" Type="http://schemas.openxmlformats.org/officeDocument/2006/relationships/pivotTable" Target="../pivotTables/pivotTable37.xml"/><Relationship Id="rId5" Type="http://schemas.openxmlformats.org/officeDocument/2006/relationships/pivotTable" Target="../pivotTables/pivotTable36.xml"/><Relationship Id="rId4" Type="http://schemas.openxmlformats.org/officeDocument/2006/relationships/pivotTable" Target="../pivotTables/pivotTable3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40.xml"/><Relationship Id="rId7" Type="http://schemas.microsoft.com/office/2007/relationships/slicer" Target="../slicers/slicer4.xml"/><Relationship Id="rId2" Type="http://schemas.openxmlformats.org/officeDocument/2006/relationships/pivotTable" Target="../pivotTables/pivotTable39.xml"/><Relationship Id="rId1" Type="http://schemas.openxmlformats.org/officeDocument/2006/relationships/pivotTable" Target="../pivotTables/pivotTable38.xml"/><Relationship Id="rId6" Type="http://schemas.openxmlformats.org/officeDocument/2006/relationships/drawing" Target="../drawings/drawing7.xml"/><Relationship Id="rId5" Type="http://schemas.openxmlformats.org/officeDocument/2006/relationships/pivotTable" Target="../pivotTables/pivotTable42.xml"/><Relationship Id="rId4" Type="http://schemas.openxmlformats.org/officeDocument/2006/relationships/pivotTable" Target="../pivotTables/pivotTable4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topLeftCell="A13" workbookViewId="0">
      <selection activeCell="L23" sqref="L23"/>
    </sheetView>
  </sheetViews>
  <sheetFormatPr defaultRowHeight="15" x14ac:dyDescent="0.25"/>
  <cols>
    <col min="1" max="1" width="18.28515625" bestFit="1" customWidth="1"/>
    <col min="2" max="2" width="7.140625" bestFit="1" customWidth="1"/>
    <col min="3" max="3" width="11.7109375" bestFit="1" customWidth="1"/>
    <col min="4" max="4" width="9.42578125" bestFit="1" customWidth="1"/>
    <col min="5" max="5" width="10" bestFit="1" customWidth="1"/>
    <col min="6" max="6" width="9.7109375" bestFit="1" customWidth="1"/>
    <col min="7" max="7" width="8.85546875" bestFit="1" customWidth="1"/>
    <col min="8" max="8" width="7" bestFit="1" customWidth="1"/>
  </cols>
  <sheetData>
    <row r="1" spans="1:8" x14ac:dyDescent="0.25">
      <c r="A1" s="1" t="s">
        <v>0</v>
      </c>
      <c r="B1" s="1" t="s">
        <v>1</v>
      </c>
      <c r="C1" s="1" t="s">
        <v>2</v>
      </c>
      <c r="D1" s="1" t="s">
        <v>3</v>
      </c>
      <c r="E1" s="1" t="s">
        <v>4</v>
      </c>
      <c r="F1" s="1" t="s">
        <v>5</v>
      </c>
      <c r="G1" s="1" t="s">
        <v>6</v>
      </c>
      <c r="H1" s="1" t="s">
        <v>7</v>
      </c>
    </row>
    <row r="2" spans="1:8" x14ac:dyDescent="0.25">
      <c r="A2" s="2">
        <v>45019</v>
      </c>
      <c r="B2" t="s">
        <v>8</v>
      </c>
      <c r="C2" t="s">
        <v>9</v>
      </c>
      <c r="D2" t="s">
        <v>10</v>
      </c>
      <c r="E2">
        <v>12</v>
      </c>
      <c r="F2">
        <v>809</v>
      </c>
      <c r="G2">
        <v>9708</v>
      </c>
      <c r="H2">
        <v>1941.6</v>
      </c>
    </row>
    <row r="3" spans="1:8" x14ac:dyDescent="0.25">
      <c r="A3" s="2">
        <v>45109</v>
      </c>
      <c r="B3" t="s">
        <v>8</v>
      </c>
      <c r="C3" t="s">
        <v>11</v>
      </c>
      <c r="D3" t="s">
        <v>10</v>
      </c>
      <c r="E3">
        <v>10</v>
      </c>
      <c r="F3">
        <v>418</v>
      </c>
      <c r="G3">
        <v>4180</v>
      </c>
      <c r="H3">
        <v>836</v>
      </c>
    </row>
    <row r="4" spans="1:8" x14ac:dyDescent="0.25">
      <c r="A4" s="2">
        <v>45267</v>
      </c>
      <c r="B4" t="s">
        <v>12</v>
      </c>
      <c r="C4" t="s">
        <v>13</v>
      </c>
      <c r="D4" t="s">
        <v>14</v>
      </c>
      <c r="E4">
        <v>12</v>
      </c>
      <c r="F4">
        <v>528</v>
      </c>
      <c r="G4">
        <v>6336</v>
      </c>
      <c r="H4">
        <v>1267.2</v>
      </c>
    </row>
    <row r="5" spans="1:8" x14ac:dyDescent="0.25">
      <c r="A5" s="2">
        <v>44998</v>
      </c>
      <c r="B5" t="s">
        <v>15</v>
      </c>
      <c r="C5" t="s">
        <v>16</v>
      </c>
      <c r="D5" t="s">
        <v>17</v>
      </c>
      <c r="E5">
        <v>10</v>
      </c>
      <c r="F5">
        <v>761</v>
      </c>
      <c r="G5">
        <v>7610</v>
      </c>
      <c r="H5">
        <v>1522</v>
      </c>
    </row>
    <row r="6" spans="1:8" x14ac:dyDescent="0.25">
      <c r="A6" s="2">
        <v>45149</v>
      </c>
      <c r="B6" t="s">
        <v>12</v>
      </c>
      <c r="C6" t="s">
        <v>13</v>
      </c>
      <c r="D6" t="s">
        <v>14</v>
      </c>
      <c r="E6">
        <v>20</v>
      </c>
      <c r="F6">
        <v>216</v>
      </c>
      <c r="G6">
        <v>4320</v>
      </c>
      <c r="H6">
        <v>864</v>
      </c>
    </row>
    <row r="7" spans="1:8" x14ac:dyDescent="0.25">
      <c r="A7" s="2">
        <v>45249</v>
      </c>
      <c r="B7" t="s">
        <v>12</v>
      </c>
      <c r="C7" t="s">
        <v>13</v>
      </c>
      <c r="D7" t="s">
        <v>18</v>
      </c>
      <c r="E7">
        <v>20</v>
      </c>
      <c r="F7">
        <v>975</v>
      </c>
      <c r="G7">
        <v>19500</v>
      </c>
      <c r="H7">
        <v>3900</v>
      </c>
    </row>
    <row r="8" spans="1:8" x14ac:dyDescent="0.25">
      <c r="A8" s="2">
        <v>45024</v>
      </c>
      <c r="B8" t="s">
        <v>15</v>
      </c>
      <c r="C8" t="s">
        <v>11</v>
      </c>
      <c r="D8" t="s">
        <v>10</v>
      </c>
      <c r="E8">
        <v>14</v>
      </c>
      <c r="F8">
        <v>779</v>
      </c>
      <c r="G8">
        <v>10906</v>
      </c>
      <c r="H8">
        <v>2181.1999999999998</v>
      </c>
    </row>
    <row r="9" spans="1:8" x14ac:dyDescent="0.25">
      <c r="A9" s="2">
        <v>45019</v>
      </c>
      <c r="B9" t="s">
        <v>8</v>
      </c>
      <c r="C9" t="s">
        <v>9</v>
      </c>
      <c r="D9" t="s">
        <v>14</v>
      </c>
      <c r="E9">
        <v>17</v>
      </c>
      <c r="F9">
        <v>637</v>
      </c>
      <c r="G9">
        <v>10829</v>
      </c>
      <c r="H9">
        <v>2165.8000000000002</v>
      </c>
    </row>
    <row r="10" spans="1:8" x14ac:dyDescent="0.25">
      <c r="A10" s="2">
        <v>45008</v>
      </c>
      <c r="B10" t="s">
        <v>15</v>
      </c>
      <c r="C10" t="s">
        <v>13</v>
      </c>
      <c r="D10" t="s">
        <v>18</v>
      </c>
      <c r="E10">
        <v>19</v>
      </c>
      <c r="F10">
        <v>877</v>
      </c>
      <c r="G10">
        <v>16663</v>
      </c>
      <c r="H10">
        <v>3332.6</v>
      </c>
    </row>
    <row r="11" spans="1:8" x14ac:dyDescent="0.25">
      <c r="A11" s="2">
        <v>45139</v>
      </c>
      <c r="B11" t="s">
        <v>19</v>
      </c>
      <c r="C11" t="s">
        <v>11</v>
      </c>
      <c r="D11" t="s">
        <v>10</v>
      </c>
      <c r="E11">
        <v>6</v>
      </c>
      <c r="F11">
        <v>579</v>
      </c>
      <c r="G11">
        <v>3474</v>
      </c>
      <c r="H11">
        <v>694.80000000000007</v>
      </c>
    </row>
    <row r="12" spans="1:8" x14ac:dyDescent="0.25">
      <c r="A12" s="2">
        <v>45106</v>
      </c>
      <c r="B12" t="s">
        <v>15</v>
      </c>
      <c r="C12" t="s">
        <v>16</v>
      </c>
      <c r="D12" t="s">
        <v>18</v>
      </c>
      <c r="E12">
        <v>4</v>
      </c>
      <c r="F12">
        <v>945</v>
      </c>
      <c r="G12">
        <v>3780</v>
      </c>
      <c r="H12">
        <v>756</v>
      </c>
    </row>
    <row r="13" spans="1:8" x14ac:dyDescent="0.25">
      <c r="A13" s="2">
        <v>44969</v>
      </c>
      <c r="B13" t="s">
        <v>8</v>
      </c>
      <c r="C13" t="s">
        <v>11</v>
      </c>
      <c r="D13" t="s">
        <v>18</v>
      </c>
      <c r="E13">
        <v>7</v>
      </c>
      <c r="F13">
        <v>312</v>
      </c>
      <c r="G13">
        <v>2184</v>
      </c>
      <c r="H13">
        <v>436.8</v>
      </c>
    </row>
    <row r="14" spans="1:8" x14ac:dyDescent="0.25">
      <c r="A14" s="2">
        <v>45155</v>
      </c>
      <c r="B14" t="s">
        <v>19</v>
      </c>
      <c r="C14" t="s">
        <v>20</v>
      </c>
      <c r="D14" t="s">
        <v>14</v>
      </c>
      <c r="E14">
        <v>20</v>
      </c>
      <c r="F14">
        <v>541</v>
      </c>
      <c r="G14">
        <v>10820</v>
      </c>
      <c r="H14">
        <v>2164</v>
      </c>
    </row>
    <row r="15" spans="1:8" x14ac:dyDescent="0.25">
      <c r="A15" s="2">
        <v>45116</v>
      </c>
      <c r="B15" t="s">
        <v>19</v>
      </c>
      <c r="C15" t="s">
        <v>9</v>
      </c>
      <c r="D15" t="s">
        <v>21</v>
      </c>
      <c r="E15">
        <v>20</v>
      </c>
      <c r="F15">
        <v>566</v>
      </c>
      <c r="G15">
        <v>11320</v>
      </c>
      <c r="H15">
        <v>2264</v>
      </c>
    </row>
    <row r="16" spans="1:8" x14ac:dyDescent="0.25">
      <c r="A16" s="2">
        <v>44954</v>
      </c>
      <c r="B16" t="s">
        <v>15</v>
      </c>
      <c r="C16" t="s">
        <v>9</v>
      </c>
      <c r="D16" t="s">
        <v>21</v>
      </c>
      <c r="E16">
        <v>1</v>
      </c>
      <c r="F16">
        <v>995</v>
      </c>
      <c r="G16">
        <v>995</v>
      </c>
      <c r="H16">
        <v>199</v>
      </c>
    </row>
    <row r="17" spans="1:8" x14ac:dyDescent="0.25">
      <c r="A17" s="2">
        <v>44972</v>
      </c>
      <c r="B17" t="s">
        <v>12</v>
      </c>
      <c r="C17" t="s">
        <v>9</v>
      </c>
      <c r="D17" t="s">
        <v>21</v>
      </c>
      <c r="E17">
        <v>20</v>
      </c>
      <c r="F17">
        <v>877</v>
      </c>
      <c r="G17">
        <v>17540</v>
      </c>
      <c r="H17">
        <v>3508</v>
      </c>
    </row>
    <row r="18" spans="1:8" x14ac:dyDescent="0.25">
      <c r="A18" s="2">
        <v>45049</v>
      </c>
      <c r="B18" t="s">
        <v>15</v>
      </c>
      <c r="C18" t="s">
        <v>11</v>
      </c>
      <c r="D18" t="s">
        <v>10</v>
      </c>
      <c r="E18">
        <v>4</v>
      </c>
      <c r="F18">
        <v>545</v>
      </c>
      <c r="G18">
        <v>2180</v>
      </c>
      <c r="H18">
        <v>436</v>
      </c>
    </row>
    <row r="19" spans="1:8" x14ac:dyDescent="0.25">
      <c r="A19" s="2">
        <v>45116</v>
      </c>
      <c r="B19" t="s">
        <v>19</v>
      </c>
      <c r="C19" t="s">
        <v>20</v>
      </c>
      <c r="D19" t="s">
        <v>18</v>
      </c>
      <c r="E19">
        <v>1</v>
      </c>
      <c r="F19">
        <v>970</v>
      </c>
      <c r="G19">
        <v>970</v>
      </c>
      <c r="H19">
        <v>194</v>
      </c>
    </row>
    <row r="20" spans="1:8" x14ac:dyDescent="0.25">
      <c r="A20" s="2">
        <v>45202</v>
      </c>
      <c r="B20" t="s">
        <v>8</v>
      </c>
      <c r="C20" t="s">
        <v>16</v>
      </c>
      <c r="D20" t="s">
        <v>17</v>
      </c>
      <c r="E20">
        <v>10</v>
      </c>
      <c r="F20">
        <v>267</v>
      </c>
      <c r="G20">
        <v>2670</v>
      </c>
      <c r="H20">
        <v>534</v>
      </c>
    </row>
    <row r="21" spans="1:8" x14ac:dyDescent="0.25">
      <c r="A21" s="2">
        <v>45170</v>
      </c>
      <c r="B21" t="s">
        <v>15</v>
      </c>
      <c r="C21" t="s">
        <v>13</v>
      </c>
      <c r="D21" t="s">
        <v>21</v>
      </c>
      <c r="E21">
        <v>17</v>
      </c>
      <c r="F21">
        <v>318</v>
      </c>
      <c r="G21">
        <v>5406</v>
      </c>
      <c r="H21">
        <v>1081.2</v>
      </c>
    </row>
    <row r="22" spans="1:8" x14ac:dyDescent="0.25">
      <c r="A22" s="2">
        <v>45017</v>
      </c>
      <c r="B22" t="s">
        <v>8</v>
      </c>
      <c r="C22" t="s">
        <v>16</v>
      </c>
      <c r="D22" t="s">
        <v>10</v>
      </c>
      <c r="E22">
        <v>7</v>
      </c>
      <c r="F22">
        <v>164</v>
      </c>
      <c r="G22">
        <v>1148</v>
      </c>
      <c r="H22">
        <v>229.6</v>
      </c>
    </row>
    <row r="23" spans="1:8" x14ac:dyDescent="0.25">
      <c r="A23" s="2">
        <v>45177</v>
      </c>
      <c r="B23" t="s">
        <v>12</v>
      </c>
      <c r="C23" t="s">
        <v>11</v>
      </c>
      <c r="D23" t="s">
        <v>21</v>
      </c>
      <c r="E23">
        <v>16</v>
      </c>
      <c r="F23">
        <v>617</v>
      </c>
      <c r="G23">
        <v>9872</v>
      </c>
      <c r="H23">
        <v>1974.4</v>
      </c>
    </row>
    <row r="24" spans="1:8" x14ac:dyDescent="0.25">
      <c r="A24" s="2">
        <v>45046</v>
      </c>
      <c r="B24" t="s">
        <v>12</v>
      </c>
      <c r="C24" t="s">
        <v>13</v>
      </c>
      <c r="D24" t="s">
        <v>10</v>
      </c>
      <c r="E24">
        <v>13</v>
      </c>
      <c r="F24">
        <v>281</v>
      </c>
      <c r="G24">
        <v>3653</v>
      </c>
      <c r="H24">
        <v>730.6</v>
      </c>
    </row>
    <row r="25" spans="1:8" x14ac:dyDescent="0.25">
      <c r="A25" s="2">
        <v>44952</v>
      </c>
      <c r="B25" t="s">
        <v>12</v>
      </c>
      <c r="C25" t="s">
        <v>13</v>
      </c>
      <c r="D25" t="s">
        <v>21</v>
      </c>
      <c r="E25">
        <v>13</v>
      </c>
      <c r="F25">
        <v>895</v>
      </c>
      <c r="G25">
        <v>11635</v>
      </c>
      <c r="H25">
        <v>2327</v>
      </c>
    </row>
    <row r="26" spans="1:8" x14ac:dyDescent="0.25">
      <c r="A26" s="2">
        <v>44963</v>
      </c>
      <c r="B26" t="s">
        <v>19</v>
      </c>
      <c r="C26" t="s">
        <v>13</v>
      </c>
      <c r="D26" t="s">
        <v>10</v>
      </c>
      <c r="E26">
        <v>10</v>
      </c>
      <c r="F26">
        <v>457</v>
      </c>
      <c r="G26">
        <v>4570</v>
      </c>
      <c r="H26">
        <v>914</v>
      </c>
    </row>
    <row r="27" spans="1:8" x14ac:dyDescent="0.25">
      <c r="A27" s="2">
        <v>45178</v>
      </c>
      <c r="B27" t="s">
        <v>12</v>
      </c>
      <c r="C27" t="s">
        <v>9</v>
      </c>
      <c r="D27" t="s">
        <v>17</v>
      </c>
      <c r="E27">
        <v>8</v>
      </c>
      <c r="F27">
        <v>945</v>
      </c>
      <c r="G27">
        <v>7560</v>
      </c>
      <c r="H27">
        <v>1512</v>
      </c>
    </row>
    <row r="28" spans="1:8" x14ac:dyDescent="0.25">
      <c r="A28" s="2">
        <v>44970</v>
      </c>
      <c r="B28" t="s">
        <v>12</v>
      </c>
      <c r="C28" t="s">
        <v>13</v>
      </c>
      <c r="D28" t="s">
        <v>18</v>
      </c>
      <c r="E28">
        <v>9</v>
      </c>
      <c r="F28">
        <v>873</v>
      </c>
      <c r="G28">
        <v>7857</v>
      </c>
      <c r="H28">
        <v>1571.4</v>
      </c>
    </row>
    <row r="29" spans="1:8" x14ac:dyDescent="0.25">
      <c r="A29" s="2">
        <v>45282</v>
      </c>
      <c r="B29" t="s">
        <v>19</v>
      </c>
      <c r="C29" t="s">
        <v>13</v>
      </c>
      <c r="D29" t="s">
        <v>10</v>
      </c>
      <c r="E29">
        <v>17</v>
      </c>
      <c r="F29">
        <v>828</v>
      </c>
      <c r="G29">
        <v>14076</v>
      </c>
      <c r="H29">
        <v>2815.2</v>
      </c>
    </row>
    <row r="30" spans="1:8" x14ac:dyDescent="0.25">
      <c r="A30" s="2">
        <v>45247</v>
      </c>
      <c r="B30" t="s">
        <v>15</v>
      </c>
      <c r="C30" t="s">
        <v>13</v>
      </c>
      <c r="D30" t="s">
        <v>18</v>
      </c>
      <c r="E30">
        <v>16</v>
      </c>
      <c r="F30">
        <v>515</v>
      </c>
      <c r="G30">
        <v>8240</v>
      </c>
      <c r="H30">
        <v>1648</v>
      </c>
    </row>
    <row r="31" spans="1:8" x14ac:dyDescent="0.25">
      <c r="A31" s="2">
        <v>45177</v>
      </c>
      <c r="B31" t="s">
        <v>12</v>
      </c>
      <c r="C31" t="s">
        <v>13</v>
      </c>
      <c r="D31" t="s">
        <v>14</v>
      </c>
      <c r="E31">
        <v>2</v>
      </c>
      <c r="F31">
        <v>918</v>
      </c>
      <c r="G31">
        <v>1836</v>
      </c>
      <c r="H31">
        <v>367.2</v>
      </c>
    </row>
  </sheetData>
  <autoFilter ref="A1:H3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C7499-2092-47AC-BE08-CBEA4935EFC4}">
  <dimension ref="B2:P41"/>
  <sheetViews>
    <sheetView showGridLines="0" topLeftCell="A19" zoomScale="82" zoomScaleNormal="82" workbookViewId="0">
      <selection activeCell="H23" sqref="H23"/>
    </sheetView>
  </sheetViews>
  <sheetFormatPr defaultRowHeight="15" x14ac:dyDescent="0.25"/>
  <cols>
    <col min="1" max="1" width="9.140625" customWidth="1"/>
    <col min="2" max="2" width="11.28515625" bestFit="1" customWidth="1"/>
    <col min="3" max="3" width="15.5703125" customWidth="1"/>
    <col min="4" max="4" width="12.5703125" bestFit="1" customWidth="1"/>
    <col min="5" max="5" width="12.140625" bestFit="1" customWidth="1"/>
    <col min="6" max="6" width="15.5703125" bestFit="1" customWidth="1"/>
    <col min="7" max="7" width="12.5703125" bestFit="1" customWidth="1"/>
    <col min="8" max="8" width="14.7109375" bestFit="1" customWidth="1"/>
    <col min="9" max="9" width="13.85546875" bestFit="1" customWidth="1"/>
    <col min="10" max="10" width="12.5703125" bestFit="1" customWidth="1"/>
    <col min="11" max="11" width="9.5703125" customWidth="1"/>
    <col min="12" max="12" width="11.28515625" bestFit="1" customWidth="1"/>
    <col min="13" max="13" width="13.85546875" bestFit="1" customWidth="1"/>
    <col min="14" max="14" width="15.5703125" bestFit="1" customWidth="1"/>
    <col min="15" max="15" width="12.5703125" bestFit="1" customWidth="1"/>
    <col min="16" max="16" width="12.5703125" customWidth="1"/>
    <col min="23" max="24" width="17.85546875" bestFit="1" customWidth="1"/>
    <col min="25" max="25" width="21.5703125" bestFit="1" customWidth="1"/>
    <col min="26" max="26" width="18.140625" bestFit="1" customWidth="1"/>
    <col min="28" max="28" width="16" bestFit="1" customWidth="1"/>
    <col min="29" max="29" width="21.5703125" bestFit="1" customWidth="1"/>
    <col min="30" max="30" width="18.140625" bestFit="1" customWidth="1"/>
  </cols>
  <sheetData>
    <row r="2" spans="2:16" ht="15.75" thickBot="1" x14ac:dyDescent="0.3"/>
    <row r="3" spans="2:16" x14ac:dyDescent="0.25">
      <c r="B3" s="52" t="s">
        <v>218</v>
      </c>
      <c r="C3" s="53"/>
      <c r="D3" s="53"/>
      <c r="E3" s="53"/>
      <c r="F3" s="53"/>
      <c r="G3" s="53"/>
      <c r="H3" s="53"/>
      <c r="I3" s="53"/>
      <c r="J3" s="53"/>
      <c r="K3" s="53"/>
      <c r="L3" s="53"/>
      <c r="M3" s="53"/>
      <c r="N3" s="53"/>
      <c r="O3" s="53"/>
      <c r="P3" s="54"/>
    </row>
    <row r="4" spans="2:16" ht="15.75" thickBot="1" x14ac:dyDescent="0.3">
      <c r="B4" s="55"/>
      <c r="C4" s="56"/>
      <c r="D4" s="56"/>
      <c r="E4" s="56"/>
      <c r="F4" s="56"/>
      <c r="G4" s="56"/>
      <c r="H4" s="56"/>
      <c r="I4" s="56"/>
      <c r="J4" s="56"/>
      <c r="K4" s="56"/>
      <c r="L4" s="56"/>
      <c r="M4" s="56"/>
      <c r="N4" s="56"/>
      <c r="O4" s="56"/>
      <c r="P4" s="57"/>
    </row>
    <row r="5" spans="2:16" ht="15.75" thickBot="1" x14ac:dyDescent="0.3">
      <c r="B5" s="9"/>
      <c r="P5" s="5"/>
    </row>
    <row r="6" spans="2:16" ht="15.75" thickBot="1" x14ac:dyDescent="0.3">
      <c r="B6" s="9"/>
      <c r="H6" s="49" t="s">
        <v>192</v>
      </c>
      <c r="I6" s="50"/>
      <c r="J6" s="51"/>
      <c r="L6" s="49" t="s">
        <v>194</v>
      </c>
      <c r="M6" s="51"/>
      <c r="P6" s="5"/>
    </row>
    <row r="7" spans="2:16" ht="15.75" thickBot="1" x14ac:dyDescent="0.3">
      <c r="B7" s="9"/>
      <c r="H7" s="15" t="s">
        <v>190</v>
      </c>
      <c r="I7" s="30" t="s">
        <v>224</v>
      </c>
      <c r="J7" s="22" t="s">
        <v>225</v>
      </c>
      <c r="L7" s="15" t="s">
        <v>1</v>
      </c>
      <c r="M7" s="17" t="s">
        <v>224</v>
      </c>
      <c r="P7" s="5"/>
    </row>
    <row r="8" spans="2:16" x14ac:dyDescent="0.25">
      <c r="B8" s="9"/>
      <c r="H8" s="29" t="s">
        <v>11</v>
      </c>
      <c r="I8" s="21">
        <v>32796</v>
      </c>
      <c r="J8" s="12">
        <v>6559.2000000000007</v>
      </c>
      <c r="L8" s="29" t="s">
        <v>17</v>
      </c>
      <c r="M8" s="13">
        <v>17840</v>
      </c>
      <c r="P8" s="5"/>
    </row>
    <row r="9" spans="2:16" x14ac:dyDescent="0.25">
      <c r="B9" s="9"/>
      <c r="H9" s="24" t="s">
        <v>9</v>
      </c>
      <c r="I9" s="9">
        <v>57952</v>
      </c>
      <c r="J9" s="5">
        <v>11590.4</v>
      </c>
      <c r="L9" s="24" t="s">
        <v>18</v>
      </c>
      <c r="M9" s="33">
        <v>59194</v>
      </c>
      <c r="P9" s="5"/>
    </row>
    <row r="10" spans="2:16" x14ac:dyDescent="0.25">
      <c r="B10" s="9"/>
      <c r="H10" s="24" t="s">
        <v>20</v>
      </c>
      <c r="I10" s="9">
        <v>11790</v>
      </c>
      <c r="J10" s="5">
        <v>2358</v>
      </c>
      <c r="L10" s="24" t="s">
        <v>21</v>
      </c>
      <c r="M10" s="33">
        <v>56768</v>
      </c>
      <c r="P10" s="5"/>
    </row>
    <row r="11" spans="2:16" x14ac:dyDescent="0.25">
      <c r="B11" s="9"/>
      <c r="H11" s="24" t="s">
        <v>16</v>
      </c>
      <c r="I11" s="9">
        <v>15208</v>
      </c>
      <c r="J11" s="5">
        <v>3041.6</v>
      </c>
      <c r="L11" s="24" t="s">
        <v>14</v>
      </c>
      <c r="M11" s="33">
        <v>34141</v>
      </c>
      <c r="O11" s="27"/>
      <c r="P11" s="5"/>
    </row>
    <row r="12" spans="2:16" ht="15.75" thickBot="1" x14ac:dyDescent="0.3">
      <c r="B12" s="9"/>
      <c r="H12" s="23" t="s">
        <v>13</v>
      </c>
      <c r="I12" s="9">
        <v>104092</v>
      </c>
      <c r="J12" s="5">
        <v>20818.400000000001</v>
      </c>
      <c r="L12" s="23" t="s">
        <v>10</v>
      </c>
      <c r="M12" s="33">
        <v>53895</v>
      </c>
      <c r="P12" s="5"/>
    </row>
    <row r="13" spans="2:16" ht="15.75" thickBot="1" x14ac:dyDescent="0.3">
      <c r="B13" s="9"/>
      <c r="H13" s="16" t="s">
        <v>176</v>
      </c>
      <c r="I13" s="10">
        <v>221838</v>
      </c>
      <c r="J13" s="7">
        <v>44367.6</v>
      </c>
      <c r="L13" s="16" t="s">
        <v>176</v>
      </c>
      <c r="M13" s="14">
        <v>221838</v>
      </c>
      <c r="P13" s="5"/>
    </row>
    <row r="14" spans="2:16" x14ac:dyDescent="0.25">
      <c r="B14" s="9"/>
      <c r="P14" s="5"/>
    </row>
    <row r="15" spans="2:16" ht="15.75" thickBot="1" x14ac:dyDescent="0.3">
      <c r="B15" s="9"/>
      <c r="P15" s="5"/>
    </row>
    <row r="16" spans="2:16" ht="15.75" thickBot="1" x14ac:dyDescent="0.3">
      <c r="B16" s="9"/>
      <c r="H16" s="49" t="s">
        <v>195</v>
      </c>
      <c r="I16" s="50"/>
      <c r="J16" s="51"/>
      <c r="L16" s="58" t="s">
        <v>191</v>
      </c>
      <c r="M16" s="59"/>
      <c r="P16" s="5"/>
    </row>
    <row r="17" spans="2:16" ht="15.75" thickBot="1" x14ac:dyDescent="0.3">
      <c r="B17" s="9"/>
      <c r="H17" s="15" t="s">
        <v>190</v>
      </c>
      <c r="I17" s="30" t="s">
        <v>224</v>
      </c>
      <c r="J17" s="22" t="s">
        <v>225</v>
      </c>
      <c r="L17" s="15" t="s">
        <v>1</v>
      </c>
      <c r="M17" s="17" t="s">
        <v>224</v>
      </c>
      <c r="P17" s="5"/>
    </row>
    <row r="18" spans="2:16" ht="15.75" thickBot="1" x14ac:dyDescent="0.3">
      <c r="B18" s="9"/>
      <c r="H18" s="16" t="s">
        <v>13</v>
      </c>
      <c r="I18" s="21">
        <v>104092</v>
      </c>
      <c r="J18" s="12">
        <v>20818.400000000001</v>
      </c>
      <c r="L18" s="29" t="s">
        <v>19</v>
      </c>
      <c r="M18" s="13">
        <v>45230</v>
      </c>
      <c r="P18" s="5"/>
    </row>
    <row r="19" spans="2:16" ht="15.75" thickBot="1" x14ac:dyDescent="0.3">
      <c r="B19" s="9"/>
      <c r="H19" s="16" t="s">
        <v>176</v>
      </c>
      <c r="I19" s="10">
        <v>104092</v>
      </c>
      <c r="J19" s="7">
        <v>20818.400000000001</v>
      </c>
      <c r="L19" s="24" t="s">
        <v>15</v>
      </c>
      <c r="M19" s="33">
        <v>55780</v>
      </c>
      <c r="P19" s="5"/>
    </row>
    <row r="20" spans="2:16" x14ac:dyDescent="0.25">
      <c r="B20" s="9"/>
      <c r="L20" s="24" t="s">
        <v>12</v>
      </c>
      <c r="M20" s="33">
        <v>90109</v>
      </c>
      <c r="P20" s="5"/>
    </row>
    <row r="21" spans="2:16" ht="15.75" thickBot="1" x14ac:dyDescent="0.3">
      <c r="B21" s="9"/>
      <c r="L21" s="23" t="s">
        <v>8</v>
      </c>
      <c r="M21" s="33">
        <v>30719</v>
      </c>
      <c r="P21" s="5"/>
    </row>
    <row r="22" spans="2:16" ht="15.75" thickBot="1" x14ac:dyDescent="0.3">
      <c r="B22" s="9"/>
      <c r="L22" s="16" t="s">
        <v>176</v>
      </c>
      <c r="M22" s="14">
        <v>221838</v>
      </c>
      <c r="P22" s="5"/>
    </row>
    <row r="23" spans="2:16" x14ac:dyDescent="0.25">
      <c r="B23" s="9"/>
      <c r="P23" s="5"/>
    </row>
    <row r="24" spans="2:16" ht="15.75" thickBot="1" x14ac:dyDescent="0.3">
      <c r="B24" s="9"/>
      <c r="P24" s="5"/>
    </row>
    <row r="25" spans="2:16" ht="15.75" thickBot="1" x14ac:dyDescent="0.3">
      <c r="B25" s="9"/>
      <c r="M25" s="49" t="s">
        <v>193</v>
      </c>
      <c r="N25" s="50"/>
      <c r="O25" s="51"/>
      <c r="P25" s="5"/>
    </row>
    <row r="26" spans="2:16" ht="15.75" thickBot="1" x14ac:dyDescent="0.3">
      <c r="B26" s="9"/>
      <c r="M26" s="28" t="s">
        <v>189</v>
      </c>
      <c r="N26" s="21" t="s">
        <v>224</v>
      </c>
      <c r="O26" s="12" t="s">
        <v>225</v>
      </c>
      <c r="P26" s="5"/>
    </row>
    <row r="27" spans="2:16" x14ac:dyDescent="0.25">
      <c r="B27" s="9"/>
      <c r="M27" s="29" t="s">
        <v>177</v>
      </c>
      <c r="N27" s="21">
        <v>12630</v>
      </c>
      <c r="O27" s="12">
        <v>2526</v>
      </c>
      <c r="P27" s="5"/>
    </row>
    <row r="28" spans="2:16" x14ac:dyDescent="0.25">
      <c r="B28" s="9"/>
      <c r="M28" s="24" t="s">
        <v>178</v>
      </c>
      <c r="N28" s="9">
        <v>32151</v>
      </c>
      <c r="O28" s="5">
        <v>6430.2000000000007</v>
      </c>
      <c r="P28" s="5"/>
    </row>
    <row r="29" spans="2:16" x14ac:dyDescent="0.25">
      <c r="B29" s="9"/>
      <c r="M29" s="24" t="s">
        <v>179</v>
      </c>
      <c r="N29" s="9">
        <v>24273</v>
      </c>
      <c r="O29" s="5">
        <v>4854.6000000000004</v>
      </c>
      <c r="P29" s="5"/>
    </row>
    <row r="30" spans="2:16" x14ac:dyDescent="0.25">
      <c r="B30" s="9"/>
      <c r="M30" s="24" t="s">
        <v>180</v>
      </c>
      <c r="N30" s="9">
        <v>36244</v>
      </c>
      <c r="O30" s="5">
        <v>7248.8</v>
      </c>
      <c r="P30" s="5"/>
    </row>
    <row r="31" spans="2:16" x14ac:dyDescent="0.25">
      <c r="B31" s="9"/>
      <c r="M31" s="24" t="s">
        <v>181</v>
      </c>
      <c r="N31" s="9">
        <v>2180</v>
      </c>
      <c r="O31" s="5">
        <v>436</v>
      </c>
      <c r="P31" s="5"/>
    </row>
    <row r="32" spans="2:16" x14ac:dyDescent="0.25">
      <c r="B32" s="9"/>
      <c r="M32" s="24" t="s">
        <v>182</v>
      </c>
      <c r="N32" s="9">
        <v>3780</v>
      </c>
      <c r="O32" s="5">
        <v>756</v>
      </c>
      <c r="P32" s="5"/>
    </row>
    <row r="33" spans="2:16" x14ac:dyDescent="0.25">
      <c r="B33" s="9"/>
      <c r="M33" s="24" t="s">
        <v>183</v>
      </c>
      <c r="N33" s="9">
        <v>16470</v>
      </c>
      <c r="O33" s="5">
        <v>3294</v>
      </c>
      <c r="P33" s="5"/>
    </row>
    <row r="34" spans="2:16" x14ac:dyDescent="0.25">
      <c r="B34" s="9"/>
      <c r="M34" s="24" t="s">
        <v>184</v>
      </c>
      <c r="N34" s="9">
        <v>18614</v>
      </c>
      <c r="O34" s="5">
        <v>3722.8</v>
      </c>
      <c r="P34" s="5"/>
    </row>
    <row r="35" spans="2:16" x14ac:dyDescent="0.25">
      <c r="B35" s="9"/>
      <c r="M35" s="24" t="s">
        <v>185</v>
      </c>
      <c r="N35" s="9">
        <v>24674</v>
      </c>
      <c r="O35" s="5">
        <v>4934.8</v>
      </c>
      <c r="P35" s="5"/>
    </row>
    <row r="36" spans="2:16" x14ac:dyDescent="0.25">
      <c r="B36" s="9"/>
      <c r="M36" s="24" t="s">
        <v>186</v>
      </c>
      <c r="N36" s="9">
        <v>2670</v>
      </c>
      <c r="O36" s="5">
        <v>534</v>
      </c>
      <c r="P36" s="5"/>
    </row>
    <row r="37" spans="2:16" x14ac:dyDescent="0.25">
      <c r="B37" s="9"/>
      <c r="M37" s="24" t="s">
        <v>187</v>
      </c>
      <c r="N37" s="9">
        <v>27740</v>
      </c>
      <c r="O37" s="5">
        <v>5548</v>
      </c>
      <c r="P37" s="5"/>
    </row>
    <row r="38" spans="2:16" ht="15.75" thickBot="1" x14ac:dyDescent="0.3">
      <c r="B38" s="9"/>
      <c r="M38" s="24" t="s">
        <v>188</v>
      </c>
      <c r="N38" s="9">
        <v>20412</v>
      </c>
      <c r="O38" s="5">
        <v>4082.3999999999996</v>
      </c>
      <c r="P38" s="5"/>
    </row>
    <row r="39" spans="2:16" ht="15.75" thickBot="1" x14ac:dyDescent="0.3">
      <c r="B39" s="9"/>
      <c r="M39" s="16" t="s">
        <v>176</v>
      </c>
      <c r="N39" s="10">
        <v>221838</v>
      </c>
      <c r="O39" s="7">
        <v>44367.600000000006</v>
      </c>
      <c r="P39" s="5"/>
    </row>
    <row r="40" spans="2:16" x14ac:dyDescent="0.25">
      <c r="B40" s="9"/>
      <c r="P40" s="5"/>
    </row>
    <row r="41" spans="2:16" ht="15.75" thickBot="1" x14ac:dyDescent="0.3">
      <c r="B41" s="10"/>
      <c r="C41" s="8"/>
      <c r="D41" s="8"/>
      <c r="E41" s="8"/>
      <c r="F41" s="8"/>
      <c r="G41" s="8"/>
      <c r="H41" s="8"/>
      <c r="I41" s="8"/>
      <c r="J41" s="8"/>
      <c r="K41" s="8"/>
      <c r="L41" s="8"/>
      <c r="M41" s="8"/>
      <c r="N41" s="8"/>
      <c r="O41" s="8"/>
      <c r="P41" s="7"/>
    </row>
  </sheetData>
  <mergeCells count="6">
    <mergeCell ref="H6:J6"/>
    <mergeCell ref="M25:O25"/>
    <mergeCell ref="H16:J16"/>
    <mergeCell ref="L6:M6"/>
    <mergeCell ref="B3:P4"/>
    <mergeCell ref="L16:M16"/>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workbookViewId="0">
      <selection activeCell="L10" sqref="L10"/>
    </sheetView>
  </sheetViews>
  <sheetFormatPr defaultRowHeight="15" x14ac:dyDescent="0.25"/>
  <cols>
    <col min="1" max="1" width="12.140625" bestFit="1" customWidth="1"/>
    <col min="2" max="2" width="11.7109375" bestFit="1" customWidth="1"/>
    <col min="3" max="3" width="7.7109375" bestFit="1" customWidth="1"/>
    <col min="4" max="4" width="4.42578125" bestFit="1" customWidth="1"/>
    <col min="5" max="6" width="18.28515625" bestFit="1" customWidth="1"/>
    <col min="8" max="8" width="7" bestFit="1" customWidth="1"/>
  </cols>
  <sheetData>
    <row r="1" spans="1:8" x14ac:dyDescent="0.25">
      <c r="A1" s="1" t="s">
        <v>22</v>
      </c>
      <c r="B1" s="1" t="s">
        <v>23</v>
      </c>
      <c r="C1" s="1" t="s">
        <v>24</v>
      </c>
      <c r="D1" s="1" t="s">
        <v>25</v>
      </c>
      <c r="E1" s="1" t="s">
        <v>26</v>
      </c>
      <c r="F1" s="1" t="s">
        <v>27</v>
      </c>
      <c r="G1" s="1" t="s">
        <v>28</v>
      </c>
      <c r="H1" s="1" t="s">
        <v>29</v>
      </c>
    </row>
    <row r="2" spans="1:8" x14ac:dyDescent="0.25">
      <c r="A2" t="s">
        <v>30</v>
      </c>
      <c r="B2" t="s">
        <v>31</v>
      </c>
      <c r="C2" t="s">
        <v>32</v>
      </c>
      <c r="D2">
        <v>48</v>
      </c>
      <c r="E2" s="2">
        <v>44956</v>
      </c>
      <c r="F2" s="2">
        <v>45442</v>
      </c>
      <c r="G2" t="s">
        <v>33</v>
      </c>
      <c r="H2">
        <v>57360</v>
      </c>
    </row>
    <row r="3" spans="1:8" x14ac:dyDescent="0.25">
      <c r="A3" t="s">
        <v>34</v>
      </c>
      <c r="B3" t="s">
        <v>35</v>
      </c>
      <c r="C3" t="s">
        <v>32</v>
      </c>
      <c r="D3">
        <v>44</v>
      </c>
      <c r="E3" s="2">
        <v>44961</v>
      </c>
      <c r="F3" s="2">
        <v>45625</v>
      </c>
      <c r="G3" t="s">
        <v>33</v>
      </c>
      <c r="H3">
        <v>39014</v>
      </c>
    </row>
    <row r="4" spans="1:8" x14ac:dyDescent="0.25">
      <c r="A4" t="s">
        <v>36</v>
      </c>
      <c r="B4" t="s">
        <v>35</v>
      </c>
      <c r="C4" t="s">
        <v>37</v>
      </c>
      <c r="D4">
        <v>44</v>
      </c>
      <c r="E4" s="2">
        <v>44534</v>
      </c>
      <c r="G4" t="s">
        <v>38</v>
      </c>
      <c r="H4">
        <v>30083</v>
      </c>
    </row>
    <row r="5" spans="1:8" x14ac:dyDescent="0.25">
      <c r="A5" t="s">
        <v>39</v>
      </c>
      <c r="B5" t="s">
        <v>31</v>
      </c>
      <c r="C5" t="s">
        <v>37</v>
      </c>
      <c r="D5">
        <v>23</v>
      </c>
      <c r="E5" s="2">
        <v>44320</v>
      </c>
      <c r="F5" s="2">
        <v>45176</v>
      </c>
      <c r="G5" t="s">
        <v>33</v>
      </c>
      <c r="H5">
        <v>71032</v>
      </c>
    </row>
    <row r="6" spans="1:8" x14ac:dyDescent="0.25">
      <c r="A6" t="s">
        <v>40</v>
      </c>
      <c r="B6" t="s">
        <v>35</v>
      </c>
      <c r="C6" t="s">
        <v>32</v>
      </c>
      <c r="D6">
        <v>48</v>
      </c>
      <c r="E6" s="2">
        <v>44648</v>
      </c>
      <c r="G6" t="s">
        <v>38</v>
      </c>
      <c r="H6">
        <v>46427</v>
      </c>
    </row>
    <row r="7" spans="1:8" x14ac:dyDescent="0.25">
      <c r="A7" t="s">
        <v>41</v>
      </c>
      <c r="B7" t="s">
        <v>35</v>
      </c>
      <c r="C7" t="s">
        <v>32</v>
      </c>
      <c r="D7">
        <v>36</v>
      </c>
      <c r="E7" s="2">
        <v>45000</v>
      </c>
      <c r="F7" s="2">
        <v>45614</v>
      </c>
      <c r="G7" t="s">
        <v>33</v>
      </c>
      <c r="H7">
        <v>104801</v>
      </c>
    </row>
    <row r="8" spans="1:8" x14ac:dyDescent="0.25">
      <c r="A8" t="s">
        <v>42</v>
      </c>
      <c r="B8" t="s">
        <v>43</v>
      </c>
      <c r="C8" t="s">
        <v>37</v>
      </c>
      <c r="D8">
        <v>31</v>
      </c>
      <c r="E8" s="2">
        <v>45003</v>
      </c>
      <c r="F8" s="2">
        <v>45668</v>
      </c>
      <c r="G8" t="s">
        <v>33</v>
      </c>
      <c r="H8">
        <v>63913</v>
      </c>
    </row>
    <row r="9" spans="1:8" x14ac:dyDescent="0.25">
      <c r="A9" t="s">
        <v>44</v>
      </c>
      <c r="B9" t="s">
        <v>31</v>
      </c>
      <c r="C9" t="s">
        <v>37</v>
      </c>
      <c r="D9">
        <v>39</v>
      </c>
      <c r="E9" s="2">
        <v>43867</v>
      </c>
      <c r="G9" t="s">
        <v>38</v>
      </c>
      <c r="H9">
        <v>79964</v>
      </c>
    </row>
    <row r="10" spans="1:8" x14ac:dyDescent="0.25">
      <c r="A10" t="s">
        <v>45</v>
      </c>
      <c r="B10" t="s">
        <v>46</v>
      </c>
      <c r="C10" t="s">
        <v>37</v>
      </c>
      <c r="D10">
        <v>41</v>
      </c>
      <c r="E10" s="2">
        <v>44395</v>
      </c>
      <c r="F10" s="2">
        <v>45042</v>
      </c>
      <c r="G10" t="s">
        <v>33</v>
      </c>
      <c r="H10">
        <v>71187</v>
      </c>
    </row>
    <row r="11" spans="1:8" x14ac:dyDescent="0.25">
      <c r="A11" t="s">
        <v>47</v>
      </c>
      <c r="B11" t="s">
        <v>43</v>
      </c>
      <c r="C11" t="s">
        <v>37</v>
      </c>
      <c r="D11">
        <v>33</v>
      </c>
      <c r="E11" s="2">
        <v>44160</v>
      </c>
      <c r="F11" s="2">
        <v>44520</v>
      </c>
      <c r="G11" t="s">
        <v>33</v>
      </c>
      <c r="H11">
        <v>85778</v>
      </c>
    </row>
    <row r="12" spans="1:8" x14ac:dyDescent="0.25">
      <c r="A12" t="s">
        <v>48</v>
      </c>
      <c r="B12" t="s">
        <v>49</v>
      </c>
      <c r="C12" t="s">
        <v>32</v>
      </c>
      <c r="D12">
        <v>44</v>
      </c>
      <c r="E12" s="2">
        <v>45279</v>
      </c>
      <c r="F12" s="2">
        <v>45887</v>
      </c>
      <c r="G12" t="s">
        <v>33</v>
      </c>
      <c r="H12">
        <v>38642</v>
      </c>
    </row>
    <row r="13" spans="1:8" x14ac:dyDescent="0.25">
      <c r="A13" t="s">
        <v>50</v>
      </c>
      <c r="B13" t="s">
        <v>43</v>
      </c>
      <c r="C13" t="s">
        <v>37</v>
      </c>
      <c r="D13">
        <v>39</v>
      </c>
      <c r="E13" s="2">
        <v>44960</v>
      </c>
      <c r="F13" s="2">
        <v>45491</v>
      </c>
      <c r="G13" t="s">
        <v>33</v>
      </c>
      <c r="H13">
        <v>52972</v>
      </c>
    </row>
    <row r="14" spans="1:8" x14ac:dyDescent="0.25">
      <c r="A14" t="s">
        <v>51</v>
      </c>
      <c r="B14" t="s">
        <v>49</v>
      </c>
      <c r="C14" t="s">
        <v>37</v>
      </c>
      <c r="D14">
        <v>49</v>
      </c>
      <c r="E14" s="2">
        <v>44227</v>
      </c>
      <c r="F14" s="2">
        <v>44318</v>
      </c>
      <c r="G14" t="s">
        <v>33</v>
      </c>
      <c r="H14">
        <v>105379</v>
      </c>
    </row>
    <row r="15" spans="1:8" x14ac:dyDescent="0.25">
      <c r="A15" t="s">
        <v>52</v>
      </c>
      <c r="B15" t="s">
        <v>35</v>
      </c>
      <c r="C15" t="s">
        <v>37</v>
      </c>
      <c r="D15">
        <v>34</v>
      </c>
      <c r="E15" s="2">
        <v>45119</v>
      </c>
      <c r="G15" t="s">
        <v>38</v>
      </c>
      <c r="H15">
        <v>107731</v>
      </c>
    </row>
    <row r="16" spans="1:8" x14ac:dyDescent="0.25">
      <c r="A16" t="s">
        <v>53</v>
      </c>
      <c r="B16" t="s">
        <v>35</v>
      </c>
      <c r="C16" t="s">
        <v>37</v>
      </c>
      <c r="D16">
        <v>27</v>
      </c>
      <c r="E16" s="2">
        <v>44299</v>
      </c>
      <c r="G16" t="s">
        <v>38</v>
      </c>
      <c r="H16">
        <v>32559</v>
      </c>
    </row>
    <row r="17" spans="1:8" x14ac:dyDescent="0.25">
      <c r="A17" t="s">
        <v>54</v>
      </c>
      <c r="B17" t="s">
        <v>43</v>
      </c>
      <c r="C17" t="s">
        <v>32</v>
      </c>
      <c r="D17">
        <v>44</v>
      </c>
      <c r="E17" s="2">
        <v>43882</v>
      </c>
      <c r="F17" s="2">
        <v>44477</v>
      </c>
      <c r="G17" t="s">
        <v>33</v>
      </c>
      <c r="H17">
        <v>55865</v>
      </c>
    </row>
    <row r="18" spans="1:8" x14ac:dyDescent="0.25">
      <c r="A18" t="s">
        <v>55</v>
      </c>
      <c r="B18" t="s">
        <v>43</v>
      </c>
      <c r="C18" t="s">
        <v>37</v>
      </c>
      <c r="D18">
        <v>25</v>
      </c>
      <c r="E18" s="2">
        <v>44776</v>
      </c>
      <c r="F18" s="2">
        <v>44949</v>
      </c>
      <c r="G18" t="s">
        <v>33</v>
      </c>
      <c r="H18">
        <v>98094</v>
      </c>
    </row>
    <row r="19" spans="1:8" x14ac:dyDescent="0.25">
      <c r="A19" t="s">
        <v>56</v>
      </c>
      <c r="B19" t="s">
        <v>46</v>
      </c>
      <c r="C19" t="s">
        <v>32</v>
      </c>
      <c r="D19">
        <v>33</v>
      </c>
      <c r="E19" s="2">
        <v>44436</v>
      </c>
      <c r="G19" t="s">
        <v>38</v>
      </c>
      <c r="H19">
        <v>90546</v>
      </c>
    </row>
    <row r="20" spans="1:8" x14ac:dyDescent="0.25">
      <c r="A20" t="s">
        <v>57</v>
      </c>
      <c r="B20" t="s">
        <v>46</v>
      </c>
      <c r="C20" t="s">
        <v>37</v>
      </c>
      <c r="D20">
        <v>22</v>
      </c>
      <c r="E20" s="2">
        <v>43852</v>
      </c>
      <c r="F20" s="2">
        <v>44563</v>
      </c>
      <c r="G20" t="s">
        <v>33</v>
      </c>
      <c r="H20">
        <v>34566</v>
      </c>
    </row>
    <row r="21" spans="1:8" x14ac:dyDescent="0.25">
      <c r="A21" t="s">
        <v>58</v>
      </c>
      <c r="B21" t="s">
        <v>46</v>
      </c>
      <c r="C21" t="s">
        <v>32</v>
      </c>
      <c r="D21">
        <v>24</v>
      </c>
      <c r="E21" s="2">
        <v>44129</v>
      </c>
      <c r="F21" s="2">
        <v>44545</v>
      </c>
      <c r="G21" t="s">
        <v>33</v>
      </c>
      <c r="H21">
        <v>105366</v>
      </c>
    </row>
    <row r="22" spans="1:8" x14ac:dyDescent="0.25">
      <c r="A22" t="s">
        <v>59</v>
      </c>
      <c r="B22" t="s">
        <v>31</v>
      </c>
      <c r="C22" t="s">
        <v>32</v>
      </c>
      <c r="D22">
        <v>30</v>
      </c>
      <c r="E22" s="2">
        <v>44624</v>
      </c>
      <c r="G22" t="s">
        <v>38</v>
      </c>
      <c r="H22">
        <v>63032</v>
      </c>
    </row>
    <row r="23" spans="1:8" x14ac:dyDescent="0.25">
      <c r="A23" t="s">
        <v>60</v>
      </c>
      <c r="B23" t="s">
        <v>35</v>
      </c>
      <c r="C23" t="s">
        <v>37</v>
      </c>
      <c r="D23">
        <v>29</v>
      </c>
      <c r="E23" s="2">
        <v>44464</v>
      </c>
      <c r="G23" t="s">
        <v>38</v>
      </c>
      <c r="H23">
        <v>65831</v>
      </c>
    </row>
    <row r="24" spans="1:8" x14ac:dyDescent="0.25">
      <c r="A24" t="s">
        <v>61</v>
      </c>
      <c r="B24" t="s">
        <v>46</v>
      </c>
      <c r="C24" t="s">
        <v>37</v>
      </c>
      <c r="D24">
        <v>46</v>
      </c>
      <c r="E24" s="2">
        <v>44898</v>
      </c>
      <c r="F24" s="2">
        <v>45264</v>
      </c>
      <c r="G24" t="s">
        <v>33</v>
      </c>
      <c r="H24">
        <v>34892</v>
      </c>
    </row>
    <row r="25" spans="1:8" x14ac:dyDescent="0.25">
      <c r="A25" t="s">
        <v>62</v>
      </c>
      <c r="B25" t="s">
        <v>49</v>
      </c>
      <c r="C25" t="s">
        <v>32</v>
      </c>
      <c r="D25">
        <v>31</v>
      </c>
      <c r="E25" s="2">
        <v>43884</v>
      </c>
      <c r="G25" t="s">
        <v>38</v>
      </c>
      <c r="H25">
        <v>31149</v>
      </c>
    </row>
    <row r="26" spans="1:8" x14ac:dyDescent="0.25">
      <c r="A26" t="s">
        <v>63</v>
      </c>
      <c r="B26" t="s">
        <v>43</v>
      </c>
      <c r="C26" t="s">
        <v>32</v>
      </c>
      <c r="D26">
        <v>41</v>
      </c>
      <c r="E26" s="2">
        <v>45208</v>
      </c>
      <c r="F26" s="2">
        <v>45449</v>
      </c>
      <c r="G26" t="s">
        <v>33</v>
      </c>
      <c r="H26">
        <v>42901</v>
      </c>
    </row>
    <row r="27" spans="1:8" x14ac:dyDescent="0.25">
      <c r="A27" t="s">
        <v>64</v>
      </c>
      <c r="B27" t="s">
        <v>49</v>
      </c>
      <c r="C27" t="s">
        <v>37</v>
      </c>
      <c r="D27">
        <v>41</v>
      </c>
      <c r="E27" s="2">
        <v>45147</v>
      </c>
      <c r="G27" t="s">
        <v>38</v>
      </c>
      <c r="H27">
        <v>84454</v>
      </c>
    </row>
    <row r="28" spans="1:8" x14ac:dyDescent="0.25">
      <c r="A28" t="s">
        <v>65</v>
      </c>
      <c r="B28" t="s">
        <v>49</v>
      </c>
      <c r="C28" t="s">
        <v>32</v>
      </c>
      <c r="D28">
        <v>32</v>
      </c>
      <c r="E28" s="2">
        <v>44601</v>
      </c>
      <c r="F28" s="2">
        <v>45366</v>
      </c>
      <c r="G28" t="s">
        <v>33</v>
      </c>
      <c r="H28">
        <v>57114</v>
      </c>
    </row>
    <row r="29" spans="1:8" x14ac:dyDescent="0.25">
      <c r="A29" t="s">
        <v>66</v>
      </c>
      <c r="B29" t="s">
        <v>43</v>
      </c>
      <c r="C29" t="s">
        <v>37</v>
      </c>
      <c r="D29">
        <v>37</v>
      </c>
      <c r="E29" s="2">
        <v>45179</v>
      </c>
      <c r="F29" s="2">
        <v>45718</v>
      </c>
      <c r="G29" t="s">
        <v>33</v>
      </c>
      <c r="H29">
        <v>64488</v>
      </c>
    </row>
    <row r="30" spans="1:8" x14ac:dyDescent="0.25">
      <c r="A30" t="s">
        <v>67</v>
      </c>
      <c r="B30" t="s">
        <v>49</v>
      </c>
      <c r="C30" t="s">
        <v>32</v>
      </c>
      <c r="D30">
        <v>41</v>
      </c>
      <c r="E30" s="2">
        <v>44739</v>
      </c>
      <c r="F30" s="2">
        <v>45289</v>
      </c>
      <c r="G30" t="s">
        <v>33</v>
      </c>
      <c r="H30">
        <v>89017</v>
      </c>
    </row>
    <row r="31" spans="1:8" x14ac:dyDescent="0.25">
      <c r="A31" t="s">
        <v>68</v>
      </c>
      <c r="B31" t="s">
        <v>43</v>
      </c>
      <c r="C31" t="s">
        <v>37</v>
      </c>
      <c r="D31">
        <v>28</v>
      </c>
      <c r="E31" s="2">
        <v>45210</v>
      </c>
      <c r="F31" s="2">
        <v>46054</v>
      </c>
      <c r="G31" t="s">
        <v>33</v>
      </c>
      <c r="H31">
        <v>105619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597AE-B683-4021-9437-CAE4FA718A3B}">
  <dimension ref="B2:P49"/>
  <sheetViews>
    <sheetView showGridLines="0" topLeftCell="A7" workbookViewId="0"/>
  </sheetViews>
  <sheetFormatPr defaultRowHeight="15" x14ac:dyDescent="0.25"/>
  <cols>
    <col min="3" max="3" width="16.42578125" bestFit="1" customWidth="1"/>
    <col min="4" max="4" width="20.42578125" bestFit="1" customWidth="1"/>
    <col min="6" max="6" width="13.140625" bestFit="1" customWidth="1"/>
    <col min="7" max="7" width="19.85546875" bestFit="1" customWidth="1"/>
    <col min="8" max="8" width="20.42578125" bestFit="1" customWidth="1"/>
    <col min="9" max="9" width="3.28515625" customWidth="1"/>
    <col min="10" max="10" width="18.28515625" bestFit="1" customWidth="1"/>
    <col min="11" max="11" width="20.42578125" bestFit="1" customWidth="1"/>
    <col min="12" max="13" width="16.42578125" bestFit="1" customWidth="1"/>
    <col min="14" max="14" width="14.5703125" bestFit="1" customWidth="1"/>
    <col min="15" max="15" width="16.42578125" bestFit="1" customWidth="1"/>
    <col min="17" max="17" width="16.42578125" bestFit="1" customWidth="1"/>
  </cols>
  <sheetData>
    <row r="2" spans="2:16" ht="15.75" thickBot="1" x14ac:dyDescent="0.3"/>
    <row r="3" spans="2:16" ht="15.75" thickBot="1" x14ac:dyDescent="0.3">
      <c r="B3" s="21"/>
      <c r="C3" s="20"/>
      <c r="D3" s="20"/>
      <c r="E3" s="20"/>
      <c r="F3" s="20"/>
      <c r="G3" s="20"/>
      <c r="H3" s="20"/>
      <c r="I3" s="20"/>
      <c r="J3" s="20"/>
      <c r="K3" s="20"/>
      <c r="L3" s="20"/>
      <c r="M3" s="20"/>
      <c r="N3" s="20"/>
      <c r="O3" s="20"/>
      <c r="P3" s="12"/>
    </row>
    <row r="4" spans="2:16" x14ac:dyDescent="0.25">
      <c r="B4" s="9"/>
      <c r="C4" s="60" t="s">
        <v>219</v>
      </c>
      <c r="D4" s="61"/>
      <c r="E4" s="61"/>
      <c r="F4" s="61"/>
      <c r="G4" s="61"/>
      <c r="H4" s="61"/>
      <c r="I4" s="61"/>
      <c r="J4" s="61"/>
      <c r="K4" s="61"/>
      <c r="L4" s="61"/>
      <c r="M4" s="61"/>
      <c r="N4" s="61"/>
      <c r="O4" s="62"/>
      <c r="P4" s="5"/>
    </row>
    <row r="5" spans="2:16" ht="15.75" thickBot="1" x14ac:dyDescent="0.3">
      <c r="B5" s="9"/>
      <c r="C5" s="63"/>
      <c r="D5" s="64"/>
      <c r="E5" s="64"/>
      <c r="F5" s="64"/>
      <c r="G5" s="64"/>
      <c r="H5" s="64"/>
      <c r="I5" s="64"/>
      <c r="J5" s="64"/>
      <c r="K5" s="64"/>
      <c r="L5" s="64"/>
      <c r="M5" s="64"/>
      <c r="N5" s="64"/>
      <c r="O5" s="65"/>
      <c r="P5" s="5"/>
    </row>
    <row r="6" spans="2:16" x14ac:dyDescent="0.25">
      <c r="B6" s="9"/>
      <c r="P6" s="5"/>
    </row>
    <row r="7" spans="2:16" ht="15.75" thickBot="1" x14ac:dyDescent="0.3">
      <c r="B7" s="9"/>
      <c r="P7" s="5"/>
    </row>
    <row r="8" spans="2:16" x14ac:dyDescent="0.25">
      <c r="B8" s="9"/>
      <c r="G8" s="38" t="s">
        <v>226</v>
      </c>
      <c r="H8" s="12" t="s">
        <v>196</v>
      </c>
      <c r="J8" s="11" t="s">
        <v>226</v>
      </c>
      <c r="K8" s="12" t="s">
        <v>196</v>
      </c>
      <c r="M8" s="28" t="s">
        <v>213</v>
      </c>
      <c r="P8" s="5"/>
    </row>
    <row r="9" spans="2:16" ht="15.75" thickBot="1" x14ac:dyDescent="0.3">
      <c r="B9" s="9"/>
      <c r="G9" s="6" t="s">
        <v>38</v>
      </c>
      <c r="H9" s="5">
        <v>10</v>
      </c>
      <c r="J9" s="6" t="s">
        <v>33</v>
      </c>
      <c r="K9" s="5">
        <v>20</v>
      </c>
      <c r="M9" s="14">
        <v>30</v>
      </c>
      <c r="P9" s="5"/>
    </row>
    <row r="10" spans="2:16" ht="15.75" thickBot="1" x14ac:dyDescent="0.3">
      <c r="B10" s="9"/>
      <c r="G10" s="34" t="s">
        <v>31</v>
      </c>
      <c r="H10" s="5">
        <v>2</v>
      </c>
      <c r="J10" s="34" t="s">
        <v>43</v>
      </c>
      <c r="K10" s="5">
        <v>8</v>
      </c>
      <c r="P10" s="5"/>
    </row>
    <row r="11" spans="2:16" x14ac:dyDescent="0.25">
      <c r="B11" s="9"/>
      <c r="G11" s="34" t="s">
        <v>35</v>
      </c>
      <c r="H11" s="5">
        <v>5</v>
      </c>
      <c r="J11" s="34" t="s">
        <v>31</v>
      </c>
      <c r="K11" s="5">
        <v>2</v>
      </c>
      <c r="M11" s="28" t="s">
        <v>197</v>
      </c>
      <c r="P11" s="5"/>
    </row>
    <row r="12" spans="2:16" ht="15.75" thickBot="1" x14ac:dyDescent="0.3">
      <c r="B12" s="9"/>
      <c r="G12" s="34" t="s">
        <v>46</v>
      </c>
      <c r="H12" s="5">
        <v>1</v>
      </c>
      <c r="J12" s="34" t="s">
        <v>35</v>
      </c>
      <c r="K12" s="5">
        <v>2</v>
      </c>
      <c r="M12" s="14">
        <v>36.133333333333333</v>
      </c>
      <c r="P12" s="5"/>
    </row>
    <row r="13" spans="2:16" ht="15.75" thickBot="1" x14ac:dyDescent="0.3">
      <c r="B13" s="9"/>
      <c r="G13" s="34" t="s">
        <v>49</v>
      </c>
      <c r="H13" s="5">
        <v>2</v>
      </c>
      <c r="J13" s="34" t="s">
        <v>46</v>
      </c>
      <c r="K13" s="5">
        <v>4</v>
      </c>
      <c r="P13" s="5"/>
    </row>
    <row r="14" spans="2:16" ht="15.75" thickBot="1" x14ac:dyDescent="0.3">
      <c r="B14" s="9"/>
      <c r="G14" s="32" t="s">
        <v>176</v>
      </c>
      <c r="H14" s="7">
        <v>10</v>
      </c>
      <c r="J14" s="34" t="s">
        <v>49</v>
      </c>
      <c r="K14" s="5">
        <v>4</v>
      </c>
      <c r="M14" s="13" t="s">
        <v>198</v>
      </c>
      <c r="P14" s="5"/>
    </row>
    <row r="15" spans="2:16" ht="15.75" thickBot="1" x14ac:dyDescent="0.3">
      <c r="B15" s="9"/>
      <c r="J15" s="32" t="s">
        <v>176</v>
      </c>
      <c r="K15" s="7">
        <v>20</v>
      </c>
      <c r="M15" s="14">
        <v>66992.53333333334</v>
      </c>
      <c r="P15" s="5"/>
    </row>
    <row r="16" spans="2:16" x14ac:dyDescent="0.25">
      <c r="B16" s="9"/>
      <c r="G16" s="11" t="s">
        <v>228</v>
      </c>
      <c r="H16" s="12" t="s">
        <v>196</v>
      </c>
      <c r="P16" s="5"/>
    </row>
    <row r="17" spans="2:16" ht="15.75" thickBot="1" x14ac:dyDescent="0.3">
      <c r="B17" s="9"/>
      <c r="G17" s="6" t="s">
        <v>33</v>
      </c>
      <c r="H17" s="5">
        <v>20</v>
      </c>
      <c r="P17" s="5"/>
    </row>
    <row r="18" spans="2:16" ht="15.75" thickBot="1" x14ac:dyDescent="0.3">
      <c r="B18" s="9"/>
      <c r="G18" s="34" t="s">
        <v>43</v>
      </c>
      <c r="H18" s="5">
        <v>8</v>
      </c>
      <c r="J18" s="39" t="s">
        <v>28</v>
      </c>
      <c r="K18" s="22" t="s">
        <v>33</v>
      </c>
      <c r="P18" s="5"/>
    </row>
    <row r="19" spans="2:16" ht="15.75" thickBot="1" x14ac:dyDescent="0.3">
      <c r="B19" s="9"/>
      <c r="G19" s="35" t="s">
        <v>32</v>
      </c>
      <c r="H19" s="5">
        <v>2</v>
      </c>
      <c r="P19" s="5"/>
    </row>
    <row r="20" spans="2:16" x14ac:dyDescent="0.25">
      <c r="B20" s="9"/>
      <c r="G20" s="35" t="s">
        <v>37</v>
      </c>
      <c r="H20" s="5">
        <v>6</v>
      </c>
      <c r="J20" s="11" t="s">
        <v>227</v>
      </c>
      <c r="K20" s="12" t="s">
        <v>196</v>
      </c>
      <c r="P20" s="5"/>
    </row>
    <row r="21" spans="2:16" x14ac:dyDescent="0.25">
      <c r="B21" s="9"/>
      <c r="G21" s="34" t="s">
        <v>31</v>
      </c>
      <c r="H21" s="5">
        <v>2</v>
      </c>
      <c r="J21" s="6" t="s">
        <v>199</v>
      </c>
      <c r="K21" s="5">
        <v>4</v>
      </c>
      <c r="P21" s="5"/>
    </row>
    <row r="22" spans="2:16" x14ac:dyDescent="0.25">
      <c r="B22" s="9"/>
      <c r="G22" s="35" t="s">
        <v>32</v>
      </c>
      <c r="H22" s="5">
        <v>1</v>
      </c>
      <c r="J22" s="6" t="s">
        <v>200</v>
      </c>
      <c r="K22" s="5">
        <v>1</v>
      </c>
      <c r="P22" s="5"/>
    </row>
    <row r="23" spans="2:16" x14ac:dyDescent="0.25">
      <c r="B23" s="9"/>
      <c r="G23" s="35" t="s">
        <v>37</v>
      </c>
      <c r="H23" s="5">
        <v>1</v>
      </c>
      <c r="J23" s="6" t="s">
        <v>201</v>
      </c>
      <c r="K23" s="5">
        <v>5</v>
      </c>
      <c r="P23" s="5"/>
    </row>
    <row r="24" spans="2:16" x14ac:dyDescent="0.25">
      <c r="B24" s="9"/>
      <c r="G24" s="34" t="s">
        <v>35</v>
      </c>
      <c r="H24" s="5">
        <v>2</v>
      </c>
      <c r="J24" s="6" t="s">
        <v>202</v>
      </c>
      <c r="K24" s="5">
        <v>6</v>
      </c>
      <c r="P24" s="5"/>
    </row>
    <row r="25" spans="2:16" x14ac:dyDescent="0.25">
      <c r="B25" s="9"/>
      <c r="G25" s="35" t="s">
        <v>32</v>
      </c>
      <c r="H25" s="5">
        <v>2</v>
      </c>
      <c r="J25" s="6" t="s">
        <v>203</v>
      </c>
      <c r="K25" s="5">
        <v>3</v>
      </c>
      <c r="P25" s="5"/>
    </row>
    <row r="26" spans="2:16" x14ac:dyDescent="0.25">
      <c r="B26" s="9"/>
      <c r="G26" s="34" t="s">
        <v>46</v>
      </c>
      <c r="H26" s="5">
        <v>4</v>
      </c>
      <c r="J26" s="6" t="s">
        <v>204</v>
      </c>
      <c r="K26" s="5">
        <v>1</v>
      </c>
      <c r="P26" s="5"/>
    </row>
    <row r="27" spans="2:16" ht="15.75" thickBot="1" x14ac:dyDescent="0.3">
      <c r="B27" s="9"/>
      <c r="G27" s="35" t="s">
        <v>32</v>
      </c>
      <c r="H27" s="5">
        <v>1</v>
      </c>
      <c r="J27" s="32" t="s">
        <v>176</v>
      </c>
      <c r="K27" s="7">
        <v>20</v>
      </c>
      <c r="P27" s="5"/>
    </row>
    <row r="28" spans="2:16" x14ac:dyDescent="0.25">
      <c r="B28" s="9"/>
      <c r="G28" s="35" t="s">
        <v>37</v>
      </c>
      <c r="H28" s="5">
        <v>3</v>
      </c>
      <c r="P28" s="5"/>
    </row>
    <row r="29" spans="2:16" x14ac:dyDescent="0.25">
      <c r="B29" s="9"/>
      <c r="G29" s="34" t="s">
        <v>49</v>
      </c>
      <c r="H29" s="5">
        <v>4</v>
      </c>
      <c r="P29" s="5"/>
    </row>
    <row r="30" spans="2:16" ht="15.75" thickBot="1" x14ac:dyDescent="0.3">
      <c r="B30" s="9"/>
      <c r="G30" s="35" t="s">
        <v>32</v>
      </c>
      <c r="H30" s="5">
        <v>3</v>
      </c>
      <c r="P30" s="5"/>
    </row>
    <row r="31" spans="2:16" x14ac:dyDescent="0.25">
      <c r="B31" s="9"/>
      <c r="G31" s="35" t="s">
        <v>37</v>
      </c>
      <c r="H31" s="5">
        <v>1</v>
      </c>
      <c r="J31" s="11" t="s">
        <v>23</v>
      </c>
      <c r="K31" s="37" t="s">
        <v>197</v>
      </c>
      <c r="L31" s="12" t="s">
        <v>198</v>
      </c>
      <c r="P31" s="5"/>
    </row>
    <row r="32" spans="2:16" ht="15.75" thickBot="1" x14ac:dyDescent="0.3">
      <c r="B32" s="9"/>
      <c r="G32" s="32" t="s">
        <v>176</v>
      </c>
      <c r="H32" s="7">
        <v>20</v>
      </c>
      <c r="J32" s="6" t="s">
        <v>43</v>
      </c>
      <c r="K32">
        <v>34.75</v>
      </c>
      <c r="L32" s="5">
        <v>71203.75</v>
      </c>
      <c r="P32" s="5"/>
    </row>
    <row r="33" spans="2:16" ht="15.75" thickBot="1" x14ac:dyDescent="0.3">
      <c r="B33" s="9"/>
      <c r="J33" s="6" t="s">
        <v>31</v>
      </c>
      <c r="K33">
        <v>35</v>
      </c>
      <c r="L33" s="5">
        <v>67847</v>
      </c>
      <c r="P33" s="5"/>
    </row>
    <row r="34" spans="2:16" x14ac:dyDescent="0.25">
      <c r="B34" s="9"/>
      <c r="G34" s="11" t="s">
        <v>24</v>
      </c>
      <c r="H34" s="12" t="s">
        <v>196</v>
      </c>
      <c r="J34" s="6" t="s">
        <v>35</v>
      </c>
      <c r="K34">
        <v>37.428571428571431</v>
      </c>
      <c r="L34" s="5">
        <v>60920.857142857145</v>
      </c>
      <c r="P34" s="5"/>
    </row>
    <row r="35" spans="2:16" x14ac:dyDescent="0.25">
      <c r="B35" s="9"/>
      <c r="G35" s="6" t="s">
        <v>32</v>
      </c>
      <c r="H35" s="5">
        <v>13</v>
      </c>
      <c r="J35" s="6" t="s">
        <v>46</v>
      </c>
      <c r="K35">
        <v>33.200000000000003</v>
      </c>
      <c r="L35" s="5">
        <v>67311.399999999994</v>
      </c>
      <c r="P35" s="5"/>
    </row>
    <row r="36" spans="2:16" x14ac:dyDescent="0.25">
      <c r="B36" s="9"/>
      <c r="G36" s="6" t="s">
        <v>37</v>
      </c>
      <c r="H36" s="5">
        <v>17</v>
      </c>
      <c r="J36" s="6" t="s">
        <v>49</v>
      </c>
      <c r="K36">
        <v>39.666666666666664</v>
      </c>
      <c r="L36" s="5">
        <v>67625.833333333328</v>
      </c>
      <c r="P36" s="5"/>
    </row>
    <row r="37" spans="2:16" ht="15.75" thickBot="1" x14ac:dyDescent="0.3">
      <c r="B37" s="9"/>
      <c r="G37" s="32" t="s">
        <v>176</v>
      </c>
      <c r="H37" s="7">
        <v>30</v>
      </c>
      <c r="J37" s="32" t="s">
        <v>176</v>
      </c>
      <c r="K37" s="8">
        <v>36.133333333333333</v>
      </c>
      <c r="L37" s="7">
        <v>66992.53333333334</v>
      </c>
      <c r="P37" s="5"/>
    </row>
    <row r="38" spans="2:16" ht="15.75" thickBot="1" x14ac:dyDescent="0.3">
      <c r="B38" s="10"/>
      <c r="C38" s="8"/>
      <c r="D38" s="8"/>
      <c r="E38" s="8"/>
      <c r="F38" s="8"/>
      <c r="G38" s="8"/>
      <c r="H38" s="8"/>
      <c r="I38" s="8"/>
      <c r="J38" s="8"/>
      <c r="K38" s="8"/>
      <c r="L38" s="8"/>
      <c r="M38" s="8"/>
      <c r="N38" s="8"/>
      <c r="O38" s="8"/>
      <c r="P38" s="7"/>
    </row>
    <row r="45" spans="2:16" ht="15.75" thickBot="1" x14ac:dyDescent="0.3"/>
    <row r="46" spans="2:16" ht="15.75" thickBot="1" x14ac:dyDescent="0.3"/>
    <row r="48" spans="2:16" ht="15.75" thickBot="1" x14ac:dyDescent="0.3"/>
    <row r="49" ht="15.75" thickBot="1" x14ac:dyDescent="0.3"/>
  </sheetData>
  <mergeCells count="1">
    <mergeCell ref="C4:O5"/>
  </mergeCells>
  <pageMargins left="0.7" right="0.7" top="0.75" bottom="0.75" header="0.3" footer="0.3"/>
  <drawing r:id="rId10"/>
  <extLst>
    <ext xmlns:x15="http://schemas.microsoft.com/office/spreadsheetml/2010/11/main" uri="{7E03D99C-DC04-49d9-9315-930204A7B6E9}">
      <x15:timelineRefs>
        <x15:timelineRef r:id="rId11"/>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1"/>
  <sheetViews>
    <sheetView workbookViewId="0">
      <selection activeCell="M10" sqref="M10"/>
    </sheetView>
  </sheetViews>
  <sheetFormatPr defaultRowHeight="15" x14ac:dyDescent="0.25"/>
  <cols>
    <col min="1" max="1" width="10.140625" bestFit="1" customWidth="1"/>
    <col min="2" max="2" width="16.28515625" bestFit="1" customWidth="1"/>
    <col min="3" max="3" width="11.28515625" bestFit="1" customWidth="1"/>
    <col min="4" max="4" width="13.85546875" bestFit="1" customWidth="1"/>
    <col min="5" max="5" width="13.140625" bestFit="1" customWidth="1"/>
    <col min="6" max="6" width="18.5703125" bestFit="1" customWidth="1"/>
    <col min="7" max="7" width="18.28515625" bestFit="1" customWidth="1"/>
    <col min="8" max="8" width="12.5703125" bestFit="1" customWidth="1"/>
    <col min="9" max="9" width="22.5703125" bestFit="1" customWidth="1"/>
    <col min="10" max="10" width="6.28515625" bestFit="1" customWidth="1"/>
    <col min="11" max="11" width="18.28515625" bestFit="1" customWidth="1"/>
  </cols>
  <sheetData>
    <row r="1" spans="1:11" x14ac:dyDescent="0.25">
      <c r="A1" s="1" t="s">
        <v>69</v>
      </c>
      <c r="B1" s="1" t="s">
        <v>70</v>
      </c>
      <c r="C1" s="1" t="s">
        <v>71</v>
      </c>
      <c r="D1" s="1" t="s">
        <v>72</v>
      </c>
      <c r="E1" s="1" t="s">
        <v>73</v>
      </c>
      <c r="F1" s="1" t="s">
        <v>74</v>
      </c>
      <c r="G1" s="1" t="s">
        <v>0</v>
      </c>
      <c r="H1" s="1" t="s">
        <v>75</v>
      </c>
      <c r="I1" s="1" t="s">
        <v>215</v>
      </c>
      <c r="J1" s="31" t="s">
        <v>214</v>
      </c>
    </row>
    <row r="2" spans="1:11" x14ac:dyDescent="0.25">
      <c r="A2" t="s">
        <v>76</v>
      </c>
      <c r="B2" t="s">
        <v>77</v>
      </c>
      <c r="C2" t="s">
        <v>78</v>
      </c>
      <c r="D2">
        <v>120</v>
      </c>
      <c r="E2">
        <v>80</v>
      </c>
      <c r="F2">
        <v>84</v>
      </c>
      <c r="G2" s="2">
        <v>45155</v>
      </c>
      <c r="H2">
        <v>124</v>
      </c>
      <c r="I2">
        <f>ABS(F2-E2)</f>
        <v>4</v>
      </c>
      <c r="J2">
        <f>WEEKNUM(G2)-WEEKNUM(DATE(YEAR(G2),MONTH(G2),1))+1</f>
        <v>3</v>
      </c>
      <c r="K2" s="2"/>
    </row>
    <row r="3" spans="1:11" x14ac:dyDescent="0.25">
      <c r="A3" t="s">
        <v>79</v>
      </c>
      <c r="B3" t="s">
        <v>80</v>
      </c>
      <c r="C3" t="s">
        <v>81</v>
      </c>
      <c r="D3">
        <v>132</v>
      </c>
      <c r="E3">
        <v>54</v>
      </c>
      <c r="F3">
        <v>28</v>
      </c>
      <c r="G3" s="2">
        <v>45189</v>
      </c>
      <c r="H3">
        <v>106</v>
      </c>
      <c r="I3">
        <f t="shared" ref="I3:I31" si="0">ABS(F3-E3)</f>
        <v>26</v>
      </c>
      <c r="J3">
        <f t="shared" ref="J3:J31" si="1">WEEKNUM(G3)-WEEKNUM(DATE(YEAR(G3),MONTH(G3),1))+1</f>
        <v>4</v>
      </c>
    </row>
    <row r="4" spans="1:11" x14ac:dyDescent="0.25">
      <c r="A4" t="s">
        <v>82</v>
      </c>
      <c r="B4" t="s">
        <v>77</v>
      </c>
      <c r="C4" t="s">
        <v>78</v>
      </c>
      <c r="D4">
        <v>54</v>
      </c>
      <c r="E4">
        <v>79</v>
      </c>
      <c r="F4">
        <v>25</v>
      </c>
      <c r="G4" s="2">
        <v>44983</v>
      </c>
      <c r="H4">
        <v>0</v>
      </c>
      <c r="I4">
        <f t="shared" si="0"/>
        <v>54</v>
      </c>
      <c r="J4">
        <f t="shared" si="1"/>
        <v>5</v>
      </c>
    </row>
    <row r="5" spans="1:11" x14ac:dyDescent="0.25">
      <c r="A5" t="s">
        <v>83</v>
      </c>
      <c r="B5" t="s">
        <v>77</v>
      </c>
      <c r="C5" t="s">
        <v>84</v>
      </c>
      <c r="D5">
        <v>184</v>
      </c>
      <c r="E5">
        <v>75</v>
      </c>
      <c r="F5">
        <v>81</v>
      </c>
      <c r="G5" s="2">
        <v>45214</v>
      </c>
      <c r="H5">
        <v>190</v>
      </c>
      <c r="I5">
        <f t="shared" si="0"/>
        <v>6</v>
      </c>
      <c r="J5">
        <f t="shared" si="1"/>
        <v>3</v>
      </c>
    </row>
    <row r="6" spans="1:11" x14ac:dyDescent="0.25">
      <c r="A6" t="s">
        <v>85</v>
      </c>
      <c r="B6" t="s">
        <v>86</v>
      </c>
      <c r="C6" t="s">
        <v>78</v>
      </c>
      <c r="D6">
        <v>100</v>
      </c>
      <c r="E6">
        <v>44</v>
      </c>
      <c r="F6">
        <v>29</v>
      </c>
      <c r="G6" s="2">
        <v>45278</v>
      </c>
      <c r="H6">
        <v>85</v>
      </c>
      <c r="I6">
        <f t="shared" si="0"/>
        <v>15</v>
      </c>
      <c r="J6">
        <f t="shared" si="1"/>
        <v>4</v>
      </c>
    </row>
    <row r="7" spans="1:11" x14ac:dyDescent="0.25">
      <c r="A7" t="s">
        <v>87</v>
      </c>
      <c r="B7" t="s">
        <v>80</v>
      </c>
      <c r="C7" t="s">
        <v>81</v>
      </c>
      <c r="D7">
        <v>163</v>
      </c>
      <c r="E7">
        <v>67</v>
      </c>
      <c r="F7">
        <v>63</v>
      </c>
      <c r="G7" s="2">
        <v>45269</v>
      </c>
      <c r="H7">
        <v>159</v>
      </c>
      <c r="I7">
        <f t="shared" si="0"/>
        <v>4</v>
      </c>
      <c r="J7">
        <f t="shared" si="1"/>
        <v>2</v>
      </c>
    </row>
    <row r="8" spans="1:11" x14ac:dyDescent="0.25">
      <c r="A8" t="s">
        <v>88</v>
      </c>
      <c r="B8" t="s">
        <v>86</v>
      </c>
      <c r="C8" t="s">
        <v>78</v>
      </c>
      <c r="D8">
        <v>196</v>
      </c>
      <c r="E8">
        <v>64</v>
      </c>
      <c r="F8">
        <v>44</v>
      </c>
      <c r="G8" s="2">
        <v>45191</v>
      </c>
      <c r="H8">
        <v>176</v>
      </c>
      <c r="I8">
        <f t="shared" si="0"/>
        <v>20</v>
      </c>
      <c r="J8">
        <f t="shared" si="1"/>
        <v>4</v>
      </c>
    </row>
    <row r="9" spans="1:11" x14ac:dyDescent="0.25">
      <c r="A9" t="s">
        <v>89</v>
      </c>
      <c r="B9" t="s">
        <v>77</v>
      </c>
      <c r="C9" t="s">
        <v>81</v>
      </c>
      <c r="D9">
        <v>194</v>
      </c>
      <c r="E9">
        <v>46</v>
      </c>
      <c r="F9">
        <v>91</v>
      </c>
      <c r="G9" s="2">
        <v>45224</v>
      </c>
      <c r="H9">
        <v>239</v>
      </c>
      <c r="I9">
        <f t="shared" si="0"/>
        <v>45</v>
      </c>
      <c r="J9">
        <f t="shared" si="1"/>
        <v>4</v>
      </c>
    </row>
    <row r="10" spans="1:11" x14ac:dyDescent="0.25">
      <c r="A10" t="s">
        <v>90</v>
      </c>
      <c r="B10" t="s">
        <v>86</v>
      </c>
      <c r="C10" t="s">
        <v>78</v>
      </c>
      <c r="D10">
        <v>95</v>
      </c>
      <c r="E10">
        <v>15</v>
      </c>
      <c r="F10">
        <v>49</v>
      </c>
      <c r="G10" s="2">
        <v>45094</v>
      </c>
      <c r="H10">
        <v>129</v>
      </c>
      <c r="I10">
        <f t="shared" si="0"/>
        <v>34</v>
      </c>
      <c r="J10">
        <f t="shared" si="1"/>
        <v>3</v>
      </c>
    </row>
    <row r="11" spans="1:11" x14ac:dyDescent="0.25">
      <c r="A11" t="s">
        <v>91</v>
      </c>
      <c r="B11" t="s">
        <v>86</v>
      </c>
      <c r="C11" t="s">
        <v>81</v>
      </c>
      <c r="D11">
        <v>97</v>
      </c>
      <c r="E11">
        <v>33</v>
      </c>
      <c r="F11">
        <v>62</v>
      </c>
      <c r="G11" s="2">
        <v>44972</v>
      </c>
      <c r="H11">
        <v>126</v>
      </c>
      <c r="I11">
        <f t="shared" si="0"/>
        <v>29</v>
      </c>
      <c r="J11">
        <f t="shared" si="1"/>
        <v>3</v>
      </c>
    </row>
    <row r="12" spans="1:11" x14ac:dyDescent="0.25">
      <c r="A12" t="s">
        <v>92</v>
      </c>
      <c r="B12" t="s">
        <v>86</v>
      </c>
      <c r="C12" t="s">
        <v>81</v>
      </c>
      <c r="D12">
        <v>177</v>
      </c>
      <c r="E12">
        <v>63</v>
      </c>
      <c r="F12">
        <v>67</v>
      </c>
      <c r="G12" s="2">
        <v>44947</v>
      </c>
      <c r="H12">
        <v>181</v>
      </c>
      <c r="I12">
        <f t="shared" si="0"/>
        <v>4</v>
      </c>
      <c r="J12">
        <f t="shared" si="1"/>
        <v>3</v>
      </c>
    </row>
    <row r="13" spans="1:11" x14ac:dyDescent="0.25">
      <c r="A13" t="s">
        <v>93</v>
      </c>
      <c r="B13" t="s">
        <v>77</v>
      </c>
      <c r="C13" t="s">
        <v>81</v>
      </c>
      <c r="D13">
        <v>114</v>
      </c>
      <c r="E13">
        <v>72</v>
      </c>
      <c r="F13">
        <v>63</v>
      </c>
      <c r="G13" s="2">
        <v>44941</v>
      </c>
      <c r="H13">
        <v>105</v>
      </c>
      <c r="I13">
        <f t="shared" si="0"/>
        <v>9</v>
      </c>
      <c r="J13">
        <f t="shared" si="1"/>
        <v>3</v>
      </c>
    </row>
    <row r="14" spans="1:11" x14ac:dyDescent="0.25">
      <c r="A14" t="s">
        <v>94</v>
      </c>
      <c r="B14" t="s">
        <v>80</v>
      </c>
      <c r="C14" t="s">
        <v>81</v>
      </c>
      <c r="D14">
        <v>122</v>
      </c>
      <c r="E14">
        <v>55</v>
      </c>
      <c r="F14">
        <v>68</v>
      </c>
      <c r="G14" s="2">
        <v>45041</v>
      </c>
      <c r="H14">
        <v>135</v>
      </c>
      <c r="I14">
        <f t="shared" si="0"/>
        <v>13</v>
      </c>
      <c r="J14">
        <f t="shared" si="1"/>
        <v>5</v>
      </c>
    </row>
    <row r="15" spans="1:11" x14ac:dyDescent="0.25">
      <c r="A15" t="s">
        <v>95</v>
      </c>
      <c r="B15" t="s">
        <v>77</v>
      </c>
      <c r="C15" t="s">
        <v>81</v>
      </c>
      <c r="D15">
        <v>188</v>
      </c>
      <c r="E15">
        <v>32</v>
      </c>
      <c r="F15">
        <v>26</v>
      </c>
      <c r="G15" s="2">
        <v>45153</v>
      </c>
      <c r="H15">
        <v>182</v>
      </c>
      <c r="I15">
        <f t="shared" si="0"/>
        <v>6</v>
      </c>
      <c r="J15">
        <f t="shared" si="1"/>
        <v>3</v>
      </c>
    </row>
    <row r="16" spans="1:11" x14ac:dyDescent="0.25">
      <c r="A16" t="s">
        <v>96</v>
      </c>
      <c r="B16" t="s">
        <v>77</v>
      </c>
      <c r="C16" t="s">
        <v>78</v>
      </c>
      <c r="D16">
        <v>181</v>
      </c>
      <c r="E16">
        <v>66</v>
      </c>
      <c r="F16">
        <v>50</v>
      </c>
      <c r="G16" s="2">
        <v>45026</v>
      </c>
      <c r="H16">
        <v>165</v>
      </c>
      <c r="I16">
        <f t="shared" si="0"/>
        <v>16</v>
      </c>
      <c r="J16">
        <f t="shared" si="1"/>
        <v>3</v>
      </c>
    </row>
    <row r="17" spans="1:10" x14ac:dyDescent="0.25">
      <c r="A17" t="s">
        <v>97</v>
      </c>
      <c r="B17" t="s">
        <v>77</v>
      </c>
      <c r="C17" t="s">
        <v>84</v>
      </c>
      <c r="D17">
        <v>71</v>
      </c>
      <c r="E17">
        <v>36</v>
      </c>
      <c r="F17">
        <v>65</v>
      </c>
      <c r="G17" s="2">
        <v>45230</v>
      </c>
      <c r="H17">
        <v>100</v>
      </c>
      <c r="I17">
        <f t="shared" si="0"/>
        <v>29</v>
      </c>
      <c r="J17">
        <f t="shared" si="1"/>
        <v>5</v>
      </c>
    </row>
    <row r="18" spans="1:10" x14ac:dyDescent="0.25">
      <c r="A18" t="s">
        <v>98</v>
      </c>
      <c r="B18" t="s">
        <v>77</v>
      </c>
      <c r="C18" t="s">
        <v>84</v>
      </c>
      <c r="D18">
        <v>106</v>
      </c>
      <c r="E18">
        <v>10</v>
      </c>
      <c r="F18">
        <v>25</v>
      </c>
      <c r="G18" s="2">
        <v>44978</v>
      </c>
      <c r="H18">
        <v>121</v>
      </c>
      <c r="I18">
        <f t="shared" si="0"/>
        <v>15</v>
      </c>
      <c r="J18">
        <f t="shared" si="1"/>
        <v>4</v>
      </c>
    </row>
    <row r="19" spans="1:10" x14ac:dyDescent="0.25">
      <c r="A19" t="s">
        <v>99</v>
      </c>
      <c r="B19" t="s">
        <v>77</v>
      </c>
      <c r="C19" t="s">
        <v>78</v>
      </c>
      <c r="D19">
        <v>129</v>
      </c>
      <c r="E19">
        <v>22</v>
      </c>
      <c r="F19">
        <v>70</v>
      </c>
      <c r="G19" s="2">
        <v>45003</v>
      </c>
      <c r="H19">
        <v>177</v>
      </c>
      <c r="I19">
        <f t="shared" si="0"/>
        <v>48</v>
      </c>
      <c r="J19">
        <f t="shared" si="1"/>
        <v>3</v>
      </c>
    </row>
    <row r="20" spans="1:10" x14ac:dyDescent="0.25">
      <c r="A20" t="s">
        <v>100</v>
      </c>
      <c r="B20" t="s">
        <v>77</v>
      </c>
      <c r="C20" t="s">
        <v>78</v>
      </c>
      <c r="D20">
        <v>170</v>
      </c>
      <c r="E20">
        <v>56</v>
      </c>
      <c r="F20">
        <v>21</v>
      </c>
      <c r="G20" s="2">
        <v>45004</v>
      </c>
      <c r="H20">
        <v>135</v>
      </c>
      <c r="I20">
        <f t="shared" si="0"/>
        <v>35</v>
      </c>
      <c r="J20">
        <f t="shared" si="1"/>
        <v>4</v>
      </c>
    </row>
    <row r="21" spans="1:10" x14ac:dyDescent="0.25">
      <c r="A21" t="s">
        <v>101</v>
      </c>
      <c r="B21" t="s">
        <v>77</v>
      </c>
      <c r="C21" t="s">
        <v>78</v>
      </c>
      <c r="D21">
        <v>128</v>
      </c>
      <c r="E21">
        <v>40</v>
      </c>
      <c r="F21">
        <v>28</v>
      </c>
      <c r="G21" s="2">
        <v>45166</v>
      </c>
      <c r="H21">
        <v>116</v>
      </c>
      <c r="I21">
        <f t="shared" si="0"/>
        <v>12</v>
      </c>
      <c r="J21">
        <f t="shared" si="1"/>
        <v>5</v>
      </c>
    </row>
    <row r="22" spans="1:10" x14ac:dyDescent="0.25">
      <c r="A22" t="s">
        <v>102</v>
      </c>
      <c r="B22" t="s">
        <v>86</v>
      </c>
      <c r="C22" t="s">
        <v>78</v>
      </c>
      <c r="D22">
        <v>56</v>
      </c>
      <c r="E22">
        <v>46</v>
      </c>
      <c r="F22">
        <v>66</v>
      </c>
      <c r="G22" s="2">
        <v>45052</v>
      </c>
      <c r="H22">
        <v>76</v>
      </c>
      <c r="I22">
        <f t="shared" si="0"/>
        <v>20</v>
      </c>
      <c r="J22">
        <f t="shared" si="1"/>
        <v>1</v>
      </c>
    </row>
    <row r="23" spans="1:10" x14ac:dyDescent="0.25">
      <c r="A23" t="s">
        <v>103</v>
      </c>
      <c r="B23" t="s">
        <v>86</v>
      </c>
      <c r="C23" t="s">
        <v>78</v>
      </c>
      <c r="D23">
        <v>136</v>
      </c>
      <c r="E23">
        <v>20</v>
      </c>
      <c r="F23">
        <v>59</v>
      </c>
      <c r="G23" s="2">
        <v>45247</v>
      </c>
      <c r="H23">
        <v>175</v>
      </c>
      <c r="I23">
        <f t="shared" si="0"/>
        <v>39</v>
      </c>
      <c r="J23">
        <f t="shared" si="1"/>
        <v>3</v>
      </c>
    </row>
    <row r="24" spans="1:10" x14ac:dyDescent="0.25">
      <c r="A24" t="s">
        <v>104</v>
      </c>
      <c r="B24" t="s">
        <v>77</v>
      </c>
      <c r="C24" t="s">
        <v>81</v>
      </c>
      <c r="D24">
        <v>68</v>
      </c>
      <c r="E24">
        <v>56</v>
      </c>
      <c r="F24">
        <v>70</v>
      </c>
      <c r="G24" s="2">
        <v>45100</v>
      </c>
      <c r="H24">
        <v>82</v>
      </c>
      <c r="I24">
        <f t="shared" si="0"/>
        <v>14</v>
      </c>
      <c r="J24">
        <f t="shared" si="1"/>
        <v>4</v>
      </c>
    </row>
    <row r="25" spans="1:10" x14ac:dyDescent="0.25">
      <c r="A25" t="s">
        <v>105</v>
      </c>
      <c r="B25" t="s">
        <v>80</v>
      </c>
      <c r="C25" t="s">
        <v>84</v>
      </c>
      <c r="D25">
        <v>165</v>
      </c>
      <c r="E25">
        <v>68</v>
      </c>
      <c r="F25">
        <v>47</v>
      </c>
      <c r="G25" s="2">
        <v>45286</v>
      </c>
      <c r="H25">
        <v>144</v>
      </c>
      <c r="I25">
        <f t="shared" si="0"/>
        <v>21</v>
      </c>
      <c r="J25">
        <f t="shared" si="1"/>
        <v>5</v>
      </c>
    </row>
    <row r="26" spans="1:10" x14ac:dyDescent="0.25">
      <c r="A26" t="s">
        <v>106</v>
      </c>
      <c r="B26" t="s">
        <v>86</v>
      </c>
      <c r="C26" t="s">
        <v>81</v>
      </c>
      <c r="D26">
        <v>71</v>
      </c>
      <c r="E26">
        <v>68</v>
      </c>
      <c r="F26">
        <v>57</v>
      </c>
      <c r="G26" s="2">
        <v>44987</v>
      </c>
      <c r="H26">
        <v>60</v>
      </c>
      <c r="I26">
        <f t="shared" si="0"/>
        <v>11</v>
      </c>
      <c r="J26">
        <f t="shared" si="1"/>
        <v>1</v>
      </c>
    </row>
    <row r="27" spans="1:10" x14ac:dyDescent="0.25">
      <c r="A27" t="s">
        <v>107</v>
      </c>
      <c r="B27" t="s">
        <v>86</v>
      </c>
      <c r="C27" t="s">
        <v>84</v>
      </c>
      <c r="D27">
        <v>56</v>
      </c>
      <c r="E27">
        <v>70</v>
      </c>
      <c r="F27">
        <v>75</v>
      </c>
      <c r="G27" s="2">
        <v>45123</v>
      </c>
      <c r="H27">
        <v>61</v>
      </c>
      <c r="I27">
        <f t="shared" si="0"/>
        <v>5</v>
      </c>
      <c r="J27">
        <f t="shared" si="1"/>
        <v>4</v>
      </c>
    </row>
    <row r="28" spans="1:10" x14ac:dyDescent="0.25">
      <c r="A28" t="s">
        <v>108</v>
      </c>
      <c r="B28" t="s">
        <v>86</v>
      </c>
      <c r="C28" t="s">
        <v>84</v>
      </c>
      <c r="D28">
        <v>80</v>
      </c>
      <c r="E28">
        <v>61</v>
      </c>
      <c r="F28">
        <v>39</v>
      </c>
      <c r="G28" s="2">
        <v>44937</v>
      </c>
      <c r="H28">
        <v>58</v>
      </c>
      <c r="I28">
        <f t="shared" si="0"/>
        <v>22</v>
      </c>
      <c r="J28">
        <f t="shared" si="1"/>
        <v>2</v>
      </c>
    </row>
    <row r="29" spans="1:10" x14ac:dyDescent="0.25">
      <c r="A29" t="s">
        <v>109</v>
      </c>
      <c r="B29" t="s">
        <v>80</v>
      </c>
      <c r="C29" t="s">
        <v>81</v>
      </c>
      <c r="D29">
        <v>70</v>
      </c>
      <c r="E29">
        <v>68</v>
      </c>
      <c r="F29">
        <v>46</v>
      </c>
      <c r="G29" s="2">
        <v>45261</v>
      </c>
      <c r="H29">
        <v>48</v>
      </c>
      <c r="I29">
        <f t="shared" si="0"/>
        <v>22</v>
      </c>
      <c r="J29">
        <f t="shared" si="1"/>
        <v>1</v>
      </c>
    </row>
    <row r="30" spans="1:10" x14ac:dyDescent="0.25">
      <c r="A30" t="s">
        <v>110</v>
      </c>
      <c r="B30" t="s">
        <v>77</v>
      </c>
      <c r="C30" t="s">
        <v>78</v>
      </c>
      <c r="D30">
        <v>143</v>
      </c>
      <c r="E30">
        <v>49</v>
      </c>
      <c r="F30">
        <v>44</v>
      </c>
      <c r="G30" s="2">
        <v>45147</v>
      </c>
      <c r="H30">
        <v>138</v>
      </c>
      <c r="I30">
        <f t="shared" si="0"/>
        <v>5</v>
      </c>
      <c r="J30">
        <f t="shared" si="1"/>
        <v>2</v>
      </c>
    </row>
    <row r="31" spans="1:10" x14ac:dyDescent="0.25">
      <c r="A31" t="s">
        <v>111</v>
      </c>
      <c r="B31" t="s">
        <v>86</v>
      </c>
      <c r="C31" t="s">
        <v>84</v>
      </c>
      <c r="D31">
        <v>168</v>
      </c>
      <c r="E31">
        <v>29</v>
      </c>
      <c r="F31">
        <v>77</v>
      </c>
      <c r="G31" s="2">
        <v>44944</v>
      </c>
      <c r="H31">
        <v>216</v>
      </c>
      <c r="I31">
        <f t="shared" si="0"/>
        <v>48</v>
      </c>
      <c r="J31">
        <f t="shared" si="1"/>
        <v>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AF579-9706-4719-A122-2BD9930E14FA}">
  <dimension ref="B2:N48"/>
  <sheetViews>
    <sheetView showGridLines="0" topLeftCell="A6" workbookViewId="0">
      <selection activeCell="M26" sqref="M26"/>
    </sheetView>
  </sheetViews>
  <sheetFormatPr defaultRowHeight="15" x14ac:dyDescent="0.25"/>
  <cols>
    <col min="3" max="3" width="15.5703125" customWidth="1"/>
    <col min="4" max="4" width="12" bestFit="1" customWidth="1"/>
    <col min="5" max="5" width="5.85546875" customWidth="1"/>
    <col min="6" max="6" width="18.5703125" bestFit="1" customWidth="1"/>
    <col min="7" max="7" width="17.7109375" bestFit="1" customWidth="1"/>
    <col min="8" max="8" width="6.140625" customWidth="1"/>
    <col min="9" max="9" width="18.5703125" bestFit="1" customWidth="1"/>
    <col min="10" max="10" width="20.5703125" bestFit="1" customWidth="1"/>
    <col min="11" max="11" width="19.42578125" bestFit="1" customWidth="1"/>
    <col min="12" max="12" width="13.140625" bestFit="1" customWidth="1"/>
    <col min="13" max="13" width="19.42578125" bestFit="1" customWidth="1"/>
    <col min="15" max="15" width="11.28515625" bestFit="1" customWidth="1"/>
    <col min="16" max="16" width="12" bestFit="1" customWidth="1"/>
  </cols>
  <sheetData>
    <row r="2" spans="2:14" ht="15.75" thickBot="1" x14ac:dyDescent="0.3"/>
    <row r="3" spans="2:14" ht="15.75" thickBot="1" x14ac:dyDescent="0.3">
      <c r="B3" s="21"/>
      <c r="C3" s="20"/>
      <c r="D3" s="20"/>
      <c r="E3" s="20"/>
      <c r="F3" s="20"/>
      <c r="G3" s="20"/>
      <c r="H3" s="20"/>
      <c r="I3" s="20"/>
      <c r="J3" s="20"/>
      <c r="K3" s="20"/>
      <c r="L3" s="20"/>
      <c r="M3" s="20"/>
      <c r="N3" s="12"/>
    </row>
    <row r="4" spans="2:14" ht="27" thickBot="1" x14ac:dyDescent="0.45">
      <c r="B4" s="9"/>
      <c r="C4" s="66" t="s">
        <v>231</v>
      </c>
      <c r="D4" s="67"/>
      <c r="E4" s="67"/>
      <c r="F4" s="67"/>
      <c r="G4" s="67"/>
      <c r="H4" s="67"/>
      <c r="I4" s="67"/>
      <c r="J4" s="67"/>
      <c r="K4" s="67"/>
      <c r="L4" s="67"/>
      <c r="M4" s="68"/>
      <c r="N4" s="5"/>
    </row>
    <row r="5" spans="2:14" ht="15.75" thickBot="1" x14ac:dyDescent="0.3">
      <c r="B5" s="9"/>
      <c r="N5" s="5"/>
    </row>
    <row r="6" spans="2:14" ht="15.75" thickBot="1" x14ac:dyDescent="0.3">
      <c r="B6" s="9"/>
      <c r="F6" s="15" t="s">
        <v>70</v>
      </c>
      <c r="G6" s="17" t="s">
        <v>229</v>
      </c>
      <c r="I6" s="11" t="s">
        <v>189</v>
      </c>
      <c r="J6" s="12" t="s">
        <v>205</v>
      </c>
      <c r="N6" s="5"/>
    </row>
    <row r="7" spans="2:14" x14ac:dyDescent="0.25">
      <c r="B7" s="9"/>
      <c r="F7" s="29" t="s">
        <v>77</v>
      </c>
      <c r="G7" s="13">
        <v>1874</v>
      </c>
      <c r="I7" s="6" t="s">
        <v>177</v>
      </c>
      <c r="J7" s="5">
        <v>83</v>
      </c>
      <c r="N7" s="5"/>
    </row>
    <row r="8" spans="2:14" x14ac:dyDescent="0.25">
      <c r="B8" s="9"/>
      <c r="F8" s="24" t="s">
        <v>80</v>
      </c>
      <c r="G8" s="33">
        <v>592</v>
      </c>
      <c r="I8" s="6" t="s">
        <v>178</v>
      </c>
      <c r="J8" s="5">
        <v>98</v>
      </c>
      <c r="N8" s="5"/>
    </row>
    <row r="9" spans="2:14" ht="15.75" thickBot="1" x14ac:dyDescent="0.3">
      <c r="B9" s="9"/>
      <c r="F9" s="23" t="s">
        <v>86</v>
      </c>
      <c r="G9" s="33">
        <v>1343</v>
      </c>
      <c r="I9" s="6" t="s">
        <v>179</v>
      </c>
      <c r="J9" s="5">
        <v>94</v>
      </c>
      <c r="N9" s="5"/>
    </row>
    <row r="10" spans="2:14" ht="15.75" thickBot="1" x14ac:dyDescent="0.3">
      <c r="B10" s="9"/>
      <c r="F10" s="16" t="s">
        <v>176</v>
      </c>
      <c r="G10" s="14">
        <v>3809</v>
      </c>
      <c r="I10" s="6" t="s">
        <v>180</v>
      </c>
      <c r="J10" s="5">
        <v>29</v>
      </c>
      <c r="N10" s="5"/>
    </row>
    <row r="11" spans="2:14" x14ac:dyDescent="0.25">
      <c r="B11" s="9"/>
      <c r="I11" s="6" t="s">
        <v>181</v>
      </c>
      <c r="J11" s="5">
        <v>20</v>
      </c>
      <c r="N11" s="5"/>
    </row>
    <row r="12" spans="2:14" x14ac:dyDescent="0.25">
      <c r="B12" s="9"/>
      <c r="I12" s="6" t="s">
        <v>182</v>
      </c>
      <c r="J12" s="5">
        <v>48</v>
      </c>
      <c r="N12" s="5"/>
    </row>
    <row r="13" spans="2:14" ht="15.75" thickBot="1" x14ac:dyDescent="0.3">
      <c r="B13" s="9"/>
      <c r="I13" s="6" t="s">
        <v>183</v>
      </c>
      <c r="J13" s="5">
        <v>5</v>
      </c>
      <c r="N13" s="5"/>
    </row>
    <row r="14" spans="2:14" ht="15.75" thickBot="1" x14ac:dyDescent="0.3">
      <c r="B14" s="9"/>
      <c r="C14" s="11" t="s">
        <v>3</v>
      </c>
      <c r="D14" s="12" t="s">
        <v>205</v>
      </c>
      <c r="F14" s="15" t="s">
        <v>3</v>
      </c>
      <c r="G14" s="17" t="s">
        <v>230</v>
      </c>
      <c r="I14" s="6" t="s">
        <v>184</v>
      </c>
      <c r="J14" s="5">
        <v>27</v>
      </c>
      <c r="N14" s="5"/>
    </row>
    <row r="15" spans="2:14" x14ac:dyDescent="0.25">
      <c r="B15" s="9"/>
      <c r="C15" s="6" t="s">
        <v>76</v>
      </c>
      <c r="D15" s="5">
        <v>4</v>
      </c>
      <c r="F15" s="29" t="s">
        <v>76</v>
      </c>
      <c r="G15" s="13">
        <v>124</v>
      </c>
      <c r="I15" s="6" t="s">
        <v>185</v>
      </c>
      <c r="J15" s="5">
        <v>46</v>
      </c>
      <c r="N15" s="5"/>
    </row>
    <row r="16" spans="2:14" x14ac:dyDescent="0.25">
      <c r="B16" s="9"/>
      <c r="C16" s="6" t="s">
        <v>79</v>
      </c>
      <c r="D16" s="5">
        <v>26</v>
      </c>
      <c r="F16" s="24" t="s">
        <v>79</v>
      </c>
      <c r="G16" s="33">
        <v>106</v>
      </c>
      <c r="I16" s="6" t="s">
        <v>186</v>
      </c>
      <c r="J16" s="5">
        <v>80</v>
      </c>
      <c r="N16" s="5"/>
    </row>
    <row r="17" spans="2:14" x14ac:dyDescent="0.25">
      <c r="B17" s="9"/>
      <c r="C17" s="6" t="s">
        <v>82</v>
      </c>
      <c r="D17" s="5">
        <v>54</v>
      </c>
      <c r="F17" s="24" t="s">
        <v>82</v>
      </c>
      <c r="G17" s="33">
        <v>0</v>
      </c>
      <c r="I17" s="6" t="s">
        <v>187</v>
      </c>
      <c r="J17" s="5">
        <v>39</v>
      </c>
      <c r="N17" s="5"/>
    </row>
    <row r="18" spans="2:14" x14ac:dyDescent="0.25">
      <c r="B18" s="9"/>
      <c r="C18" s="6" t="s">
        <v>83</v>
      </c>
      <c r="D18" s="5">
        <v>6</v>
      </c>
      <c r="F18" s="24" t="s">
        <v>83</v>
      </c>
      <c r="G18" s="33">
        <v>190</v>
      </c>
      <c r="I18" s="6" t="s">
        <v>188</v>
      </c>
      <c r="J18" s="5">
        <v>62</v>
      </c>
      <c r="N18" s="5"/>
    </row>
    <row r="19" spans="2:14" ht="15.75" thickBot="1" x14ac:dyDescent="0.3">
      <c r="B19" s="9"/>
      <c r="C19" s="6" t="s">
        <v>85</v>
      </c>
      <c r="D19" s="5">
        <v>15</v>
      </c>
      <c r="F19" s="24" t="s">
        <v>85</v>
      </c>
      <c r="G19" s="33">
        <v>85</v>
      </c>
      <c r="I19" s="32" t="s">
        <v>176</v>
      </c>
      <c r="J19" s="7">
        <v>631</v>
      </c>
      <c r="N19" s="5"/>
    </row>
    <row r="20" spans="2:14" x14ac:dyDescent="0.25">
      <c r="B20" s="9"/>
      <c r="C20" s="6" t="s">
        <v>87</v>
      </c>
      <c r="D20" s="5">
        <v>4</v>
      </c>
      <c r="F20" s="24" t="s">
        <v>87</v>
      </c>
      <c r="G20" s="33">
        <v>159</v>
      </c>
      <c r="N20" s="5"/>
    </row>
    <row r="21" spans="2:14" ht="15.75" thickBot="1" x14ac:dyDescent="0.3">
      <c r="B21" s="9"/>
      <c r="C21" s="6" t="s">
        <v>88</v>
      </c>
      <c r="D21" s="5">
        <v>20</v>
      </c>
      <c r="F21" s="24" t="s">
        <v>88</v>
      </c>
      <c r="G21" s="33">
        <v>176</v>
      </c>
      <c r="N21" s="5"/>
    </row>
    <row r="22" spans="2:14" x14ac:dyDescent="0.25">
      <c r="B22" s="9"/>
      <c r="C22" s="6" t="s">
        <v>89</v>
      </c>
      <c r="D22" s="5">
        <v>45</v>
      </c>
      <c r="F22" s="24" t="s">
        <v>89</v>
      </c>
      <c r="G22" s="33">
        <v>239</v>
      </c>
      <c r="I22" s="11" t="s">
        <v>70</v>
      </c>
      <c r="J22" s="20" t="s">
        <v>207</v>
      </c>
      <c r="K22" s="12" t="s">
        <v>206</v>
      </c>
      <c r="N22" s="5"/>
    </row>
    <row r="23" spans="2:14" x14ac:dyDescent="0.25">
      <c r="B23" s="9"/>
      <c r="C23" s="6" t="s">
        <v>90</v>
      </c>
      <c r="D23" s="5">
        <v>34</v>
      </c>
      <c r="F23" s="24" t="s">
        <v>90</v>
      </c>
      <c r="G23" s="33">
        <v>129</v>
      </c>
      <c r="I23" s="6" t="s">
        <v>77</v>
      </c>
      <c r="J23">
        <v>1850</v>
      </c>
      <c r="K23" s="5">
        <v>1874</v>
      </c>
      <c r="N23" s="5"/>
    </row>
    <row r="24" spans="2:14" x14ac:dyDescent="0.25">
      <c r="B24" s="9"/>
      <c r="C24" s="6" t="s">
        <v>91</v>
      </c>
      <c r="D24" s="5">
        <v>29</v>
      </c>
      <c r="F24" s="24" t="s">
        <v>91</v>
      </c>
      <c r="G24" s="33">
        <v>126</v>
      </c>
      <c r="I24" s="6" t="s">
        <v>80</v>
      </c>
      <c r="J24">
        <v>652</v>
      </c>
      <c r="K24" s="5">
        <v>592</v>
      </c>
      <c r="N24" s="5"/>
    </row>
    <row r="25" spans="2:14" x14ac:dyDescent="0.25">
      <c r="B25" s="9"/>
      <c r="C25" s="6" t="s">
        <v>92</v>
      </c>
      <c r="D25" s="5">
        <v>4</v>
      </c>
      <c r="F25" s="24" t="s">
        <v>92</v>
      </c>
      <c r="G25" s="33">
        <v>181</v>
      </c>
      <c r="I25" s="6" t="s">
        <v>86</v>
      </c>
      <c r="J25">
        <v>1232</v>
      </c>
      <c r="K25" s="5">
        <v>1343</v>
      </c>
      <c r="N25" s="5"/>
    </row>
    <row r="26" spans="2:14" ht="15.75" thickBot="1" x14ac:dyDescent="0.3">
      <c r="B26" s="9"/>
      <c r="C26" s="6" t="s">
        <v>93</v>
      </c>
      <c r="D26" s="5">
        <v>9</v>
      </c>
      <c r="F26" s="24" t="s">
        <v>93</v>
      </c>
      <c r="G26" s="33">
        <v>105</v>
      </c>
      <c r="I26" s="32" t="s">
        <v>176</v>
      </c>
      <c r="J26" s="8">
        <v>3734</v>
      </c>
      <c r="K26" s="7">
        <v>3809</v>
      </c>
      <c r="N26" s="5"/>
    </row>
    <row r="27" spans="2:14" x14ac:dyDescent="0.25">
      <c r="B27" s="9"/>
      <c r="C27" s="6" t="s">
        <v>94</v>
      </c>
      <c r="D27" s="5">
        <v>13</v>
      </c>
      <c r="F27" s="24" t="s">
        <v>94</v>
      </c>
      <c r="G27" s="33">
        <v>135</v>
      </c>
      <c r="N27" s="5"/>
    </row>
    <row r="28" spans="2:14" x14ac:dyDescent="0.25">
      <c r="B28" s="9"/>
      <c r="C28" s="6" t="s">
        <v>95</v>
      </c>
      <c r="D28" s="5">
        <v>6</v>
      </c>
      <c r="F28" s="24" t="s">
        <v>95</v>
      </c>
      <c r="G28" s="33">
        <v>182</v>
      </c>
      <c r="N28" s="5"/>
    </row>
    <row r="29" spans="2:14" x14ac:dyDescent="0.25">
      <c r="B29" s="9"/>
      <c r="C29" s="6" t="s">
        <v>96</v>
      </c>
      <c r="D29" s="5">
        <v>16</v>
      </c>
      <c r="F29" s="24" t="s">
        <v>96</v>
      </c>
      <c r="G29" s="33">
        <v>165</v>
      </c>
      <c r="N29" s="5"/>
    </row>
    <row r="30" spans="2:14" x14ac:dyDescent="0.25">
      <c r="B30" s="9"/>
      <c r="C30" s="6" t="s">
        <v>97</v>
      </c>
      <c r="D30" s="5">
        <v>29</v>
      </c>
      <c r="F30" s="24" t="s">
        <v>97</v>
      </c>
      <c r="G30" s="33">
        <v>100</v>
      </c>
      <c r="N30" s="5"/>
    </row>
    <row r="31" spans="2:14" x14ac:dyDescent="0.25">
      <c r="B31" s="9"/>
      <c r="C31" s="6" t="s">
        <v>98</v>
      </c>
      <c r="D31" s="5">
        <v>15</v>
      </c>
      <c r="F31" s="24" t="s">
        <v>98</v>
      </c>
      <c r="G31" s="33">
        <v>121</v>
      </c>
      <c r="N31" s="5"/>
    </row>
    <row r="32" spans="2:14" x14ac:dyDescent="0.25">
      <c r="B32" s="9"/>
      <c r="C32" s="6" t="s">
        <v>99</v>
      </c>
      <c r="D32" s="5">
        <v>48</v>
      </c>
      <c r="F32" s="24" t="s">
        <v>99</v>
      </c>
      <c r="G32" s="33">
        <v>177</v>
      </c>
      <c r="N32" s="5"/>
    </row>
    <row r="33" spans="2:14" x14ac:dyDescent="0.25">
      <c r="B33" s="9"/>
      <c r="C33" s="6" t="s">
        <v>100</v>
      </c>
      <c r="D33" s="5">
        <v>35</v>
      </c>
      <c r="F33" s="24" t="s">
        <v>100</v>
      </c>
      <c r="G33" s="33">
        <v>135</v>
      </c>
      <c r="N33" s="5"/>
    </row>
    <row r="34" spans="2:14" x14ac:dyDescent="0.25">
      <c r="B34" s="9"/>
      <c r="C34" s="6" t="s">
        <v>101</v>
      </c>
      <c r="D34" s="5">
        <v>12</v>
      </c>
      <c r="F34" s="24" t="s">
        <v>101</v>
      </c>
      <c r="G34" s="33">
        <v>116</v>
      </c>
      <c r="N34" s="5"/>
    </row>
    <row r="35" spans="2:14" x14ac:dyDescent="0.25">
      <c r="B35" s="9"/>
      <c r="C35" s="6" t="s">
        <v>102</v>
      </c>
      <c r="D35" s="5">
        <v>20</v>
      </c>
      <c r="F35" s="24" t="s">
        <v>102</v>
      </c>
      <c r="G35" s="33">
        <v>76</v>
      </c>
      <c r="N35" s="5"/>
    </row>
    <row r="36" spans="2:14" x14ac:dyDescent="0.25">
      <c r="B36" s="9"/>
      <c r="C36" s="6" t="s">
        <v>103</v>
      </c>
      <c r="D36" s="5">
        <v>39</v>
      </c>
      <c r="F36" s="24" t="s">
        <v>103</v>
      </c>
      <c r="G36" s="33">
        <v>175</v>
      </c>
      <c r="N36" s="5"/>
    </row>
    <row r="37" spans="2:14" x14ac:dyDescent="0.25">
      <c r="B37" s="9"/>
      <c r="C37" s="6" t="s">
        <v>104</v>
      </c>
      <c r="D37" s="5">
        <v>14</v>
      </c>
      <c r="F37" s="24" t="s">
        <v>104</v>
      </c>
      <c r="G37" s="33">
        <v>82</v>
      </c>
      <c r="N37" s="5"/>
    </row>
    <row r="38" spans="2:14" x14ac:dyDescent="0.25">
      <c r="B38" s="9"/>
      <c r="C38" s="6" t="s">
        <v>105</v>
      </c>
      <c r="D38" s="5">
        <v>21</v>
      </c>
      <c r="F38" s="24" t="s">
        <v>105</v>
      </c>
      <c r="G38" s="33">
        <v>144</v>
      </c>
      <c r="N38" s="5"/>
    </row>
    <row r="39" spans="2:14" x14ac:dyDescent="0.25">
      <c r="B39" s="9"/>
      <c r="C39" s="6" t="s">
        <v>106</v>
      </c>
      <c r="D39" s="5">
        <v>11</v>
      </c>
      <c r="F39" s="24" t="s">
        <v>106</v>
      </c>
      <c r="G39" s="33">
        <v>60</v>
      </c>
      <c r="N39" s="5"/>
    </row>
    <row r="40" spans="2:14" x14ac:dyDescent="0.25">
      <c r="B40" s="9"/>
      <c r="C40" s="6" t="s">
        <v>107</v>
      </c>
      <c r="D40" s="5">
        <v>5</v>
      </c>
      <c r="F40" s="24" t="s">
        <v>107</v>
      </c>
      <c r="G40" s="33">
        <v>61</v>
      </c>
      <c r="N40" s="5"/>
    </row>
    <row r="41" spans="2:14" x14ac:dyDescent="0.25">
      <c r="B41" s="9"/>
      <c r="C41" s="6" t="s">
        <v>108</v>
      </c>
      <c r="D41" s="5">
        <v>22</v>
      </c>
      <c r="F41" s="24" t="s">
        <v>108</v>
      </c>
      <c r="G41" s="33">
        <v>58</v>
      </c>
      <c r="N41" s="5"/>
    </row>
    <row r="42" spans="2:14" x14ac:dyDescent="0.25">
      <c r="B42" s="9"/>
      <c r="C42" s="6" t="s">
        <v>109</v>
      </c>
      <c r="D42" s="5">
        <v>22</v>
      </c>
      <c r="F42" s="24" t="s">
        <v>109</v>
      </c>
      <c r="G42" s="33">
        <v>48</v>
      </c>
      <c r="N42" s="5"/>
    </row>
    <row r="43" spans="2:14" x14ac:dyDescent="0.25">
      <c r="B43" s="9"/>
      <c r="C43" s="6" t="s">
        <v>110</v>
      </c>
      <c r="D43" s="5">
        <v>5</v>
      </c>
      <c r="F43" s="24" t="s">
        <v>110</v>
      </c>
      <c r="G43" s="33">
        <v>138</v>
      </c>
      <c r="N43" s="5"/>
    </row>
    <row r="44" spans="2:14" ht="15.75" thickBot="1" x14ac:dyDescent="0.3">
      <c r="B44" s="9"/>
      <c r="C44" s="6" t="s">
        <v>111</v>
      </c>
      <c r="D44" s="5">
        <v>48</v>
      </c>
      <c r="F44" s="23" t="s">
        <v>111</v>
      </c>
      <c r="G44" s="33">
        <v>216</v>
      </c>
      <c r="N44" s="5"/>
    </row>
    <row r="45" spans="2:14" ht="15.75" thickBot="1" x14ac:dyDescent="0.3">
      <c r="B45" s="9"/>
      <c r="C45" s="32" t="s">
        <v>176</v>
      </c>
      <c r="D45" s="7">
        <v>631</v>
      </c>
      <c r="F45" s="16" t="s">
        <v>176</v>
      </c>
      <c r="G45" s="14">
        <v>3809</v>
      </c>
      <c r="N45" s="5"/>
    </row>
    <row r="46" spans="2:14" x14ac:dyDescent="0.25">
      <c r="B46" s="9"/>
      <c r="N46" s="5"/>
    </row>
    <row r="47" spans="2:14" x14ac:dyDescent="0.25">
      <c r="B47" s="9"/>
      <c r="N47" s="5"/>
    </row>
    <row r="48" spans="2:14" ht="15.75" thickBot="1" x14ac:dyDescent="0.3">
      <c r="B48" s="10"/>
      <c r="C48" s="8"/>
      <c r="D48" s="8"/>
      <c r="E48" s="8"/>
      <c r="F48" s="8"/>
      <c r="G48" s="8"/>
      <c r="H48" s="8"/>
      <c r="I48" s="8"/>
      <c r="J48" s="8"/>
      <c r="K48" s="8"/>
      <c r="L48" s="8"/>
      <c r="M48" s="8"/>
      <c r="N48" s="7"/>
    </row>
  </sheetData>
  <mergeCells count="1">
    <mergeCell ref="C4:M4"/>
  </mergeCells>
  <conditionalFormatting sqref="F14:G14 F15:F45">
    <cfRule type="cellIs" dxfId="1" priority="2" operator="lessThan">
      <formula>100</formula>
    </cfRule>
  </conditionalFormatting>
  <conditionalFormatting pivot="1" sqref="G15:G44">
    <cfRule type="cellIs" dxfId="0" priority="1" operator="lessThan">
      <formula>110</formula>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9BE08-F77B-44F4-9B5B-40DB4930D76F}">
  <dimension ref="A3:L24"/>
  <sheetViews>
    <sheetView workbookViewId="0">
      <selection activeCell="J19" sqref="J19"/>
    </sheetView>
  </sheetViews>
  <sheetFormatPr defaultRowHeight="15" x14ac:dyDescent="0.25"/>
  <cols>
    <col min="1" max="1" width="11.28515625" bestFit="1" customWidth="1"/>
    <col min="2" max="2" width="14" bestFit="1" customWidth="1"/>
    <col min="3" max="3" width="23" bestFit="1" customWidth="1"/>
    <col min="5" max="5" width="11.28515625" bestFit="1" customWidth="1"/>
    <col min="6" max="7" width="14" bestFit="1" customWidth="1"/>
    <col min="8" max="8" width="12.140625" bestFit="1" customWidth="1"/>
    <col min="9" max="10" width="23" bestFit="1" customWidth="1"/>
    <col min="11" max="11" width="12.140625" bestFit="1" customWidth="1"/>
    <col min="12" max="12" width="16.7109375" bestFit="1" customWidth="1"/>
    <col min="13" max="13" width="10.7109375" bestFit="1" customWidth="1"/>
  </cols>
  <sheetData>
    <row r="3" spans="1:12" x14ac:dyDescent="0.25">
      <c r="A3" s="3" t="s">
        <v>175</v>
      </c>
      <c r="B3" t="s">
        <v>208</v>
      </c>
      <c r="C3" t="s">
        <v>209</v>
      </c>
      <c r="E3" s="3" t="s">
        <v>175</v>
      </c>
      <c r="F3" t="s">
        <v>208</v>
      </c>
      <c r="H3" s="3" t="s">
        <v>175</v>
      </c>
      <c r="I3" t="s">
        <v>209</v>
      </c>
      <c r="K3" t="s">
        <v>221</v>
      </c>
      <c r="L3" t="s">
        <v>220</v>
      </c>
    </row>
    <row r="4" spans="1:12" x14ac:dyDescent="0.25">
      <c r="A4" s="4" t="s">
        <v>118</v>
      </c>
      <c r="B4">
        <v>100201</v>
      </c>
      <c r="C4">
        <v>54260</v>
      </c>
      <c r="E4" s="4" t="s">
        <v>116</v>
      </c>
      <c r="F4" s="25">
        <v>0.13974520586527991</v>
      </c>
      <c r="H4" s="4" t="s">
        <v>177</v>
      </c>
      <c r="I4">
        <v>3137</v>
      </c>
      <c r="K4">
        <v>291137</v>
      </c>
      <c r="L4">
        <v>154861</v>
      </c>
    </row>
    <row r="5" spans="1:12" x14ac:dyDescent="0.25">
      <c r="A5" s="4" t="s">
        <v>35</v>
      </c>
      <c r="B5">
        <v>86839</v>
      </c>
      <c r="C5">
        <v>48167</v>
      </c>
      <c r="E5" s="4" t="s">
        <v>124</v>
      </c>
      <c r="F5" s="25">
        <v>0.19050481388487206</v>
      </c>
      <c r="H5" s="4" t="s">
        <v>178</v>
      </c>
      <c r="I5">
        <v>1399</v>
      </c>
    </row>
    <row r="6" spans="1:12" x14ac:dyDescent="0.25">
      <c r="A6" s="4" t="s">
        <v>126</v>
      </c>
      <c r="B6">
        <v>21818</v>
      </c>
      <c r="C6">
        <v>11562</v>
      </c>
      <c r="E6" s="4" t="s">
        <v>122</v>
      </c>
      <c r="F6" s="25">
        <v>0.27043968990543971</v>
      </c>
      <c r="H6" s="4" t="s">
        <v>179</v>
      </c>
      <c r="I6">
        <v>2771</v>
      </c>
    </row>
    <row r="7" spans="1:12" x14ac:dyDescent="0.25">
      <c r="A7" s="4" t="s">
        <v>121</v>
      </c>
      <c r="B7">
        <v>82279</v>
      </c>
      <c r="C7">
        <v>40872</v>
      </c>
      <c r="E7" s="4" t="s">
        <v>119</v>
      </c>
      <c r="F7" s="25">
        <v>0.39931029034440829</v>
      </c>
      <c r="H7" s="4" t="s">
        <v>180</v>
      </c>
      <c r="I7">
        <v>18690</v>
      </c>
    </row>
    <row r="8" spans="1:12" x14ac:dyDescent="0.25">
      <c r="A8" s="4" t="s">
        <v>176</v>
      </c>
      <c r="B8">
        <v>291137</v>
      </c>
      <c r="C8">
        <v>154861</v>
      </c>
      <c r="E8" s="4" t="s">
        <v>176</v>
      </c>
      <c r="F8" s="25">
        <v>1</v>
      </c>
      <c r="H8" s="4" t="s">
        <v>181</v>
      </c>
      <c r="I8">
        <v>7390</v>
      </c>
    </row>
    <row r="9" spans="1:12" x14ac:dyDescent="0.25">
      <c r="H9" s="4" t="s">
        <v>182</v>
      </c>
      <c r="I9">
        <v>6608</v>
      </c>
    </row>
    <row r="10" spans="1:12" x14ac:dyDescent="0.25">
      <c r="H10" s="4" t="s">
        <v>183</v>
      </c>
      <c r="I10">
        <v>40058</v>
      </c>
    </row>
    <row r="11" spans="1:12" x14ac:dyDescent="0.25">
      <c r="H11" s="4" t="s">
        <v>184</v>
      </c>
      <c r="I11">
        <v>21858</v>
      </c>
    </row>
    <row r="12" spans="1:12" x14ac:dyDescent="0.25">
      <c r="H12" s="4" t="s">
        <v>185</v>
      </c>
      <c r="I12">
        <v>23100</v>
      </c>
    </row>
    <row r="13" spans="1:12" x14ac:dyDescent="0.25">
      <c r="H13" s="4" t="s">
        <v>186</v>
      </c>
      <c r="I13">
        <v>7045</v>
      </c>
    </row>
    <row r="14" spans="1:12" x14ac:dyDescent="0.25">
      <c r="H14" s="4" t="s">
        <v>187</v>
      </c>
      <c r="I14">
        <v>12382</v>
      </c>
    </row>
    <row r="15" spans="1:12" x14ac:dyDescent="0.25">
      <c r="H15" s="4" t="s">
        <v>188</v>
      </c>
      <c r="I15">
        <v>10423</v>
      </c>
    </row>
    <row r="16" spans="1:12" x14ac:dyDescent="0.25">
      <c r="H16" s="4" t="s">
        <v>176</v>
      </c>
      <c r="I16">
        <v>154861</v>
      </c>
    </row>
    <row r="19" spans="8:9" x14ac:dyDescent="0.25">
      <c r="H19" s="3" t="s">
        <v>175</v>
      </c>
      <c r="I19" t="s">
        <v>209</v>
      </c>
    </row>
    <row r="20" spans="8:9" x14ac:dyDescent="0.25">
      <c r="H20" s="4" t="s">
        <v>120</v>
      </c>
      <c r="I20">
        <v>44382</v>
      </c>
    </row>
    <row r="21" spans="8:9" x14ac:dyDescent="0.25">
      <c r="H21" s="4" t="s">
        <v>125</v>
      </c>
      <c r="I21">
        <v>41850</v>
      </c>
    </row>
    <row r="22" spans="8:9" x14ac:dyDescent="0.25">
      <c r="H22" s="4" t="s">
        <v>117</v>
      </c>
      <c r="I22">
        <v>42605</v>
      </c>
    </row>
    <row r="23" spans="8:9" x14ac:dyDescent="0.25">
      <c r="H23" s="4" t="s">
        <v>123</v>
      </c>
      <c r="I23">
        <v>26024</v>
      </c>
    </row>
    <row r="24" spans="8:9" x14ac:dyDescent="0.25">
      <c r="H24" s="4" t="s">
        <v>176</v>
      </c>
      <c r="I24">
        <v>154861</v>
      </c>
    </row>
  </sheetData>
  <conditionalFormatting sqref="E3:F8">
    <cfRule type="colorScale" priority="2">
      <colorScale>
        <cfvo type="min"/>
        <cfvo type="percentile" val="50"/>
        <cfvo type="max"/>
        <color rgb="FFF8696B"/>
        <color rgb="FFFFEB84"/>
        <color rgb="FF63BE7B"/>
      </colorScale>
    </cfRule>
  </conditionalFormatting>
  <conditionalFormatting sqref="K3:L3">
    <cfRule type="colorScale" priority="7">
      <colorScale>
        <cfvo type="min"/>
        <cfvo type="percentile" val="50"/>
        <cfvo type="max"/>
        <color rgb="FFF8696B"/>
        <color rgb="FFFFEB84"/>
        <color rgb="FF63BE7B"/>
      </colorScale>
    </cfRule>
  </conditionalFormatting>
  <pageMargins left="0.7" right="0.7" top="0.75" bottom="0.75" header="0.3" footer="0.3"/>
  <drawing r:id="rId7"/>
  <extLst>
    <ext xmlns:x15="http://schemas.microsoft.com/office/spreadsheetml/2010/11/main" uri="{7E03D99C-DC04-49d9-9315-930204A7B6E9}">
      <x15:timelineRefs>
        <x15:timelineRef r:id="rId8"/>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1"/>
  <sheetViews>
    <sheetView workbookViewId="0">
      <selection activeCell="J8" sqref="J8"/>
    </sheetView>
  </sheetViews>
  <sheetFormatPr defaultRowHeight="15" x14ac:dyDescent="0.25"/>
  <cols>
    <col min="1" max="1" width="11.7109375" bestFit="1" customWidth="1"/>
    <col min="2" max="2" width="16.85546875" bestFit="1" customWidth="1"/>
    <col min="3" max="3" width="16.140625" bestFit="1" customWidth="1"/>
    <col min="4" max="4" width="7.28515625" bestFit="1" customWidth="1"/>
    <col min="5" max="5" width="18.28515625" bestFit="1" customWidth="1"/>
    <col min="6" max="6" width="13.140625" bestFit="1" customWidth="1"/>
  </cols>
  <sheetData>
    <row r="1" spans="1:7" x14ac:dyDescent="0.25">
      <c r="A1" s="1" t="s">
        <v>23</v>
      </c>
      <c r="B1" s="1" t="s">
        <v>112</v>
      </c>
      <c r="C1" s="1" t="s">
        <v>113</v>
      </c>
      <c r="D1" s="1" t="s">
        <v>114</v>
      </c>
      <c r="E1" s="1" t="s">
        <v>0</v>
      </c>
      <c r="F1" s="1" t="s">
        <v>115</v>
      </c>
      <c r="G1" s="31" t="s">
        <v>216</v>
      </c>
    </row>
    <row r="2" spans="1:7" x14ac:dyDescent="0.25">
      <c r="A2" t="s">
        <v>35</v>
      </c>
      <c r="B2" t="s">
        <v>116</v>
      </c>
      <c r="C2">
        <v>3707</v>
      </c>
      <c r="D2">
        <v>5413</v>
      </c>
      <c r="E2" s="2">
        <v>45091</v>
      </c>
      <c r="F2" t="s">
        <v>117</v>
      </c>
    </row>
    <row r="3" spans="1:7" x14ac:dyDescent="0.25">
      <c r="A3" t="s">
        <v>118</v>
      </c>
      <c r="B3" t="s">
        <v>119</v>
      </c>
      <c r="C3">
        <v>8341</v>
      </c>
      <c r="D3">
        <v>10963</v>
      </c>
      <c r="E3" s="2">
        <v>45111</v>
      </c>
      <c r="F3" t="s">
        <v>120</v>
      </c>
    </row>
    <row r="4" spans="1:7" x14ac:dyDescent="0.25">
      <c r="A4" t="s">
        <v>121</v>
      </c>
      <c r="B4" t="s">
        <v>122</v>
      </c>
      <c r="C4">
        <v>8733</v>
      </c>
      <c r="D4">
        <v>8992</v>
      </c>
      <c r="E4" s="2">
        <v>45125</v>
      </c>
      <c r="F4" t="s">
        <v>123</v>
      </c>
    </row>
    <row r="5" spans="1:7" x14ac:dyDescent="0.25">
      <c r="A5" t="s">
        <v>121</v>
      </c>
      <c r="B5" t="s">
        <v>124</v>
      </c>
      <c r="C5">
        <v>1403</v>
      </c>
      <c r="D5">
        <v>7501</v>
      </c>
      <c r="E5" s="2">
        <v>45280</v>
      </c>
      <c r="F5" t="s">
        <v>117</v>
      </c>
    </row>
    <row r="6" spans="1:7" x14ac:dyDescent="0.25">
      <c r="A6" t="s">
        <v>118</v>
      </c>
      <c r="B6" t="s">
        <v>124</v>
      </c>
      <c r="C6">
        <v>5713</v>
      </c>
      <c r="D6">
        <v>11398</v>
      </c>
      <c r="E6" s="2">
        <v>45022</v>
      </c>
      <c r="F6" t="s">
        <v>117</v>
      </c>
    </row>
    <row r="7" spans="1:7" x14ac:dyDescent="0.25">
      <c r="A7" t="s">
        <v>121</v>
      </c>
      <c r="B7" t="s">
        <v>116</v>
      </c>
      <c r="C7">
        <v>9223</v>
      </c>
      <c r="D7">
        <v>13529</v>
      </c>
      <c r="E7" s="2">
        <v>45034</v>
      </c>
      <c r="F7" t="s">
        <v>125</v>
      </c>
    </row>
    <row r="8" spans="1:7" x14ac:dyDescent="0.25">
      <c r="A8" t="s">
        <v>118</v>
      </c>
      <c r="B8" t="s">
        <v>119</v>
      </c>
      <c r="C8">
        <v>2901</v>
      </c>
      <c r="D8">
        <v>12206</v>
      </c>
      <c r="E8" s="2">
        <v>45105</v>
      </c>
      <c r="F8" t="s">
        <v>120</v>
      </c>
    </row>
    <row r="9" spans="1:7" x14ac:dyDescent="0.25">
      <c r="A9" t="s">
        <v>118</v>
      </c>
      <c r="B9" t="s">
        <v>122</v>
      </c>
      <c r="C9">
        <v>2121</v>
      </c>
      <c r="D9">
        <v>11558</v>
      </c>
      <c r="E9" s="2">
        <v>45260</v>
      </c>
      <c r="F9" t="s">
        <v>120</v>
      </c>
    </row>
    <row r="10" spans="1:7" x14ac:dyDescent="0.25">
      <c r="A10" t="s">
        <v>35</v>
      </c>
      <c r="B10" t="s">
        <v>122</v>
      </c>
      <c r="C10">
        <v>4478</v>
      </c>
      <c r="D10">
        <v>12258</v>
      </c>
      <c r="E10" s="2">
        <v>45176</v>
      </c>
      <c r="F10" t="s">
        <v>125</v>
      </c>
    </row>
    <row r="11" spans="1:7" x14ac:dyDescent="0.25">
      <c r="A11" t="s">
        <v>35</v>
      </c>
      <c r="B11" t="s">
        <v>119</v>
      </c>
      <c r="C11">
        <v>3137</v>
      </c>
      <c r="D11">
        <v>10509</v>
      </c>
      <c r="E11" s="2">
        <v>44941</v>
      </c>
      <c r="F11" t="s">
        <v>125</v>
      </c>
    </row>
    <row r="12" spans="1:7" x14ac:dyDescent="0.25">
      <c r="A12" t="s">
        <v>121</v>
      </c>
      <c r="B12" t="s">
        <v>124</v>
      </c>
      <c r="C12">
        <v>3272</v>
      </c>
      <c r="D12">
        <v>11154</v>
      </c>
      <c r="E12" s="2">
        <v>45191</v>
      </c>
      <c r="F12" t="s">
        <v>120</v>
      </c>
    </row>
    <row r="13" spans="1:7" x14ac:dyDescent="0.25">
      <c r="A13" t="s">
        <v>35</v>
      </c>
      <c r="B13" t="s">
        <v>124</v>
      </c>
      <c r="C13">
        <v>7552</v>
      </c>
      <c r="D13">
        <v>5819</v>
      </c>
      <c r="E13" s="2">
        <v>45140</v>
      </c>
      <c r="F13" t="s">
        <v>123</v>
      </c>
    </row>
    <row r="14" spans="1:7" x14ac:dyDescent="0.25">
      <c r="A14" t="s">
        <v>118</v>
      </c>
      <c r="B14" t="s">
        <v>119</v>
      </c>
      <c r="C14">
        <v>1399</v>
      </c>
      <c r="D14">
        <v>5098</v>
      </c>
      <c r="E14" s="2">
        <v>44980</v>
      </c>
      <c r="F14" t="s">
        <v>125</v>
      </c>
    </row>
    <row r="15" spans="1:7" x14ac:dyDescent="0.25">
      <c r="A15" t="s">
        <v>35</v>
      </c>
      <c r="B15" t="s">
        <v>122</v>
      </c>
      <c r="C15">
        <v>9009</v>
      </c>
      <c r="D15">
        <v>8963</v>
      </c>
      <c r="E15" s="2">
        <v>45152</v>
      </c>
      <c r="F15" t="s">
        <v>120</v>
      </c>
    </row>
    <row r="16" spans="1:7" x14ac:dyDescent="0.25">
      <c r="A16" t="s">
        <v>35</v>
      </c>
      <c r="B16" t="s">
        <v>116</v>
      </c>
      <c r="C16">
        <v>8645</v>
      </c>
      <c r="D16">
        <v>8210</v>
      </c>
      <c r="E16" s="2">
        <v>45183</v>
      </c>
      <c r="F16" t="s">
        <v>117</v>
      </c>
    </row>
    <row r="17" spans="1:6" x14ac:dyDescent="0.25">
      <c r="A17" t="s">
        <v>126</v>
      </c>
      <c r="B17" t="s">
        <v>124</v>
      </c>
      <c r="C17">
        <v>2694</v>
      </c>
      <c r="D17">
        <v>7831</v>
      </c>
      <c r="E17" s="2">
        <v>45233</v>
      </c>
      <c r="F17" t="s">
        <v>123</v>
      </c>
    </row>
    <row r="18" spans="1:6" x14ac:dyDescent="0.25">
      <c r="A18" t="s">
        <v>118</v>
      </c>
      <c r="B18" t="s">
        <v>124</v>
      </c>
      <c r="C18">
        <v>3568</v>
      </c>
      <c r="D18">
        <v>6065</v>
      </c>
      <c r="E18" s="2">
        <v>45128</v>
      </c>
      <c r="F18" t="s">
        <v>117</v>
      </c>
    </row>
    <row r="19" spans="1:6" x14ac:dyDescent="0.25">
      <c r="A19" t="s">
        <v>121</v>
      </c>
      <c r="B19" t="s">
        <v>119</v>
      </c>
      <c r="C19">
        <v>7045</v>
      </c>
      <c r="D19">
        <v>14543</v>
      </c>
      <c r="E19" s="2">
        <v>45210</v>
      </c>
      <c r="F19" t="s">
        <v>123</v>
      </c>
    </row>
    <row r="20" spans="1:6" x14ac:dyDescent="0.25">
      <c r="A20" t="s">
        <v>35</v>
      </c>
      <c r="B20" t="s">
        <v>116</v>
      </c>
      <c r="C20">
        <v>3754</v>
      </c>
      <c r="D20">
        <v>13533</v>
      </c>
      <c r="E20" s="2">
        <v>45041</v>
      </c>
      <c r="F20" t="s">
        <v>125</v>
      </c>
    </row>
    <row r="21" spans="1:6" x14ac:dyDescent="0.25">
      <c r="A21" t="s">
        <v>118</v>
      </c>
      <c r="B21" t="s">
        <v>119</v>
      </c>
      <c r="C21">
        <v>6762</v>
      </c>
      <c r="D21">
        <v>5074</v>
      </c>
      <c r="E21" s="2">
        <v>45130</v>
      </c>
      <c r="F21" t="s">
        <v>125</v>
      </c>
    </row>
    <row r="22" spans="1:6" x14ac:dyDescent="0.25">
      <c r="A22" t="s">
        <v>118</v>
      </c>
      <c r="B22" t="s">
        <v>119</v>
      </c>
      <c r="C22">
        <v>5297</v>
      </c>
      <c r="D22">
        <v>10525</v>
      </c>
      <c r="E22" s="2">
        <v>45158</v>
      </c>
      <c r="F22" t="s">
        <v>117</v>
      </c>
    </row>
    <row r="23" spans="1:6" x14ac:dyDescent="0.25">
      <c r="A23" t="s">
        <v>126</v>
      </c>
      <c r="B23" t="s">
        <v>124</v>
      </c>
      <c r="C23">
        <v>3504</v>
      </c>
      <c r="D23">
        <v>5695</v>
      </c>
      <c r="E23" s="2">
        <v>45066</v>
      </c>
      <c r="F23" t="s">
        <v>125</v>
      </c>
    </row>
    <row r="24" spans="1:6" x14ac:dyDescent="0.25">
      <c r="A24" t="s">
        <v>118</v>
      </c>
      <c r="B24" t="s">
        <v>122</v>
      </c>
      <c r="C24">
        <v>6705</v>
      </c>
      <c r="D24">
        <v>8911</v>
      </c>
      <c r="E24" s="2">
        <v>45177</v>
      </c>
      <c r="F24" t="s">
        <v>117</v>
      </c>
    </row>
    <row r="25" spans="1:6" x14ac:dyDescent="0.25">
      <c r="A25" t="s">
        <v>126</v>
      </c>
      <c r="B25" t="s">
        <v>122</v>
      </c>
      <c r="C25">
        <v>5364</v>
      </c>
      <c r="D25">
        <v>8292</v>
      </c>
      <c r="E25" s="2">
        <v>45280</v>
      </c>
      <c r="F25" t="s">
        <v>125</v>
      </c>
    </row>
    <row r="26" spans="1:6" x14ac:dyDescent="0.25">
      <c r="A26" t="s">
        <v>121</v>
      </c>
      <c r="B26" t="s">
        <v>119</v>
      </c>
      <c r="C26">
        <v>2771</v>
      </c>
      <c r="D26">
        <v>14172</v>
      </c>
      <c r="E26" s="2">
        <v>45003</v>
      </c>
      <c r="F26" t="s">
        <v>120</v>
      </c>
    </row>
    <row r="27" spans="1:6" x14ac:dyDescent="0.25">
      <c r="A27" t="s">
        <v>118</v>
      </c>
      <c r="B27" t="s">
        <v>122</v>
      </c>
      <c r="C27">
        <v>3886</v>
      </c>
      <c r="D27">
        <v>5220</v>
      </c>
      <c r="E27" s="2">
        <v>45063</v>
      </c>
      <c r="F27" t="s">
        <v>120</v>
      </c>
    </row>
    <row r="28" spans="1:6" x14ac:dyDescent="0.25">
      <c r="A28" t="s">
        <v>118</v>
      </c>
      <c r="B28" t="s">
        <v>119</v>
      </c>
      <c r="C28">
        <v>7567</v>
      </c>
      <c r="D28">
        <v>13183</v>
      </c>
      <c r="E28" s="2">
        <v>45259</v>
      </c>
      <c r="F28" t="s">
        <v>117</v>
      </c>
    </row>
    <row r="29" spans="1:6" x14ac:dyDescent="0.25">
      <c r="A29" t="s">
        <v>35</v>
      </c>
      <c r="B29" t="s">
        <v>119</v>
      </c>
      <c r="C29">
        <v>4229</v>
      </c>
      <c r="D29">
        <v>7593</v>
      </c>
      <c r="E29" s="2">
        <v>45118</v>
      </c>
      <c r="F29" t="s">
        <v>125</v>
      </c>
    </row>
    <row r="30" spans="1:6" x14ac:dyDescent="0.25">
      <c r="A30" t="s">
        <v>35</v>
      </c>
      <c r="B30" t="s">
        <v>122</v>
      </c>
      <c r="C30">
        <v>3656</v>
      </c>
      <c r="D30">
        <v>14541</v>
      </c>
      <c r="E30" s="2">
        <v>45277</v>
      </c>
      <c r="F30" t="s">
        <v>120</v>
      </c>
    </row>
    <row r="31" spans="1:6" x14ac:dyDescent="0.25">
      <c r="A31" t="s">
        <v>121</v>
      </c>
      <c r="B31" t="s">
        <v>119</v>
      </c>
      <c r="C31">
        <v>8425</v>
      </c>
      <c r="D31">
        <v>12388</v>
      </c>
      <c r="E31" s="2">
        <v>45120</v>
      </c>
      <c r="F31" t="s">
        <v>120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1A76B-27C4-40F3-87D3-8B26B68FCF4E}">
  <dimension ref="A3:J34"/>
  <sheetViews>
    <sheetView topLeftCell="A17" workbookViewId="0">
      <selection activeCell="E23" sqref="E23:F34"/>
    </sheetView>
  </sheetViews>
  <sheetFormatPr defaultRowHeight="15" x14ac:dyDescent="0.25"/>
  <cols>
    <col min="1" max="2" width="16.5703125" bestFit="1" customWidth="1"/>
    <col min="5" max="5" width="13.140625" bestFit="1" customWidth="1"/>
    <col min="6" max="6" width="18.5703125" bestFit="1" customWidth="1"/>
    <col min="7" max="7" width="16.5703125" bestFit="1" customWidth="1"/>
    <col min="9" max="9" width="14.42578125" bestFit="1" customWidth="1"/>
    <col min="10" max="10" width="16.5703125" bestFit="1" customWidth="1"/>
  </cols>
  <sheetData>
    <row r="3" spans="1:10" x14ac:dyDescent="0.25">
      <c r="A3" s="3" t="s">
        <v>175</v>
      </c>
      <c r="B3" t="s">
        <v>210</v>
      </c>
      <c r="E3" s="3" t="s">
        <v>175</v>
      </c>
      <c r="F3" t="s">
        <v>211</v>
      </c>
    </row>
    <row r="4" spans="1:10" x14ac:dyDescent="0.25">
      <c r="A4" s="4" t="s">
        <v>135</v>
      </c>
      <c r="B4">
        <v>5</v>
      </c>
      <c r="E4" s="4" t="s">
        <v>139</v>
      </c>
      <c r="F4">
        <v>5.3</v>
      </c>
    </row>
    <row r="5" spans="1:10" x14ac:dyDescent="0.25">
      <c r="A5" s="26" t="s">
        <v>137</v>
      </c>
      <c r="B5">
        <v>5</v>
      </c>
      <c r="E5" s="4" t="s">
        <v>149</v>
      </c>
      <c r="F5">
        <v>5.4285714285714288</v>
      </c>
    </row>
    <row r="6" spans="1:10" x14ac:dyDescent="0.25">
      <c r="A6" s="4" t="s">
        <v>159</v>
      </c>
      <c r="B6">
        <v>5</v>
      </c>
      <c r="E6" s="4" t="s">
        <v>144</v>
      </c>
      <c r="F6">
        <v>5.25</v>
      </c>
    </row>
    <row r="7" spans="1:10" x14ac:dyDescent="0.25">
      <c r="A7" s="26" t="s">
        <v>146</v>
      </c>
      <c r="B7">
        <v>3</v>
      </c>
      <c r="E7" s="4" t="s">
        <v>136</v>
      </c>
      <c r="F7">
        <v>7.1111111111111107</v>
      </c>
    </row>
    <row r="8" spans="1:10" x14ac:dyDescent="0.25">
      <c r="A8" s="26" t="s">
        <v>137</v>
      </c>
      <c r="B8">
        <v>2</v>
      </c>
      <c r="E8" s="4" t="s">
        <v>176</v>
      </c>
      <c r="F8">
        <v>5.8666666666666663</v>
      </c>
    </row>
    <row r="9" spans="1:10" x14ac:dyDescent="0.25">
      <c r="A9" s="4" t="s">
        <v>143</v>
      </c>
      <c r="B9">
        <v>9</v>
      </c>
    </row>
    <row r="10" spans="1:10" x14ac:dyDescent="0.25">
      <c r="A10" s="26" t="s">
        <v>146</v>
      </c>
      <c r="B10">
        <v>6</v>
      </c>
      <c r="E10" s="3" t="s">
        <v>175</v>
      </c>
      <c r="F10" t="s">
        <v>210</v>
      </c>
      <c r="G10" t="s">
        <v>212</v>
      </c>
    </row>
    <row r="11" spans="1:10" x14ac:dyDescent="0.25">
      <c r="A11" s="26" t="s">
        <v>137</v>
      </c>
      <c r="B11">
        <v>3</v>
      </c>
      <c r="E11" s="4" t="s">
        <v>178</v>
      </c>
      <c r="F11">
        <v>3</v>
      </c>
      <c r="G11">
        <v>91056</v>
      </c>
      <c r="I11" s="3" t="s">
        <v>132</v>
      </c>
      <c r="J11" t="s">
        <v>146</v>
      </c>
    </row>
    <row r="12" spans="1:10" x14ac:dyDescent="0.25">
      <c r="A12" s="4" t="s">
        <v>148</v>
      </c>
      <c r="B12">
        <v>4</v>
      </c>
      <c r="E12" s="4" t="s">
        <v>179</v>
      </c>
      <c r="F12">
        <v>1</v>
      </c>
      <c r="G12">
        <v>14341</v>
      </c>
    </row>
    <row r="13" spans="1:10" x14ac:dyDescent="0.25">
      <c r="A13" s="26" t="s">
        <v>146</v>
      </c>
      <c r="B13">
        <v>1</v>
      </c>
      <c r="E13" s="4" t="s">
        <v>180</v>
      </c>
      <c r="F13">
        <v>1</v>
      </c>
      <c r="G13">
        <v>43861</v>
      </c>
      <c r="I13" s="3" t="s">
        <v>175</v>
      </c>
      <c r="J13" t="s">
        <v>210</v>
      </c>
    </row>
    <row r="14" spans="1:10" x14ac:dyDescent="0.25">
      <c r="A14" s="26" t="s">
        <v>137</v>
      </c>
      <c r="B14">
        <v>3</v>
      </c>
      <c r="E14" s="4" t="s">
        <v>181</v>
      </c>
      <c r="F14">
        <v>5</v>
      </c>
      <c r="G14">
        <v>115886</v>
      </c>
      <c r="I14" s="4" t="s">
        <v>159</v>
      </c>
      <c r="J14">
        <v>3</v>
      </c>
    </row>
    <row r="15" spans="1:10" x14ac:dyDescent="0.25">
      <c r="A15" s="4" t="s">
        <v>141</v>
      </c>
      <c r="B15">
        <v>7</v>
      </c>
      <c r="E15" s="4" t="s">
        <v>182</v>
      </c>
      <c r="F15">
        <v>2</v>
      </c>
      <c r="G15">
        <v>45803</v>
      </c>
      <c r="I15" s="4" t="s">
        <v>143</v>
      </c>
      <c r="J15">
        <v>6</v>
      </c>
    </row>
    <row r="16" spans="1:10" x14ac:dyDescent="0.25">
      <c r="A16" s="26" t="s">
        <v>146</v>
      </c>
      <c r="B16">
        <v>3</v>
      </c>
      <c r="E16" s="4" t="s">
        <v>183</v>
      </c>
      <c r="F16">
        <v>4</v>
      </c>
      <c r="G16">
        <v>140518</v>
      </c>
      <c r="I16" s="4" t="s">
        <v>148</v>
      </c>
      <c r="J16">
        <v>1</v>
      </c>
    </row>
    <row r="17" spans="1:10" x14ac:dyDescent="0.25">
      <c r="A17" s="26" t="s">
        <v>137</v>
      </c>
      <c r="B17">
        <v>4</v>
      </c>
      <c r="E17" s="4" t="s">
        <v>184</v>
      </c>
      <c r="F17">
        <v>2</v>
      </c>
      <c r="G17">
        <v>15431</v>
      </c>
      <c r="I17" s="4" t="s">
        <v>141</v>
      </c>
      <c r="J17">
        <v>3</v>
      </c>
    </row>
    <row r="18" spans="1:10" x14ac:dyDescent="0.25">
      <c r="A18" s="4" t="s">
        <v>176</v>
      </c>
      <c r="B18">
        <v>30</v>
      </c>
      <c r="E18" s="4" t="s">
        <v>185</v>
      </c>
      <c r="F18">
        <v>3</v>
      </c>
      <c r="G18">
        <v>87783</v>
      </c>
      <c r="I18" s="4" t="s">
        <v>176</v>
      </c>
      <c r="J18">
        <v>13</v>
      </c>
    </row>
    <row r="19" spans="1:10" x14ac:dyDescent="0.25">
      <c r="E19" s="4" t="s">
        <v>186</v>
      </c>
      <c r="F19">
        <v>5</v>
      </c>
      <c r="G19">
        <v>150393</v>
      </c>
    </row>
    <row r="20" spans="1:10" x14ac:dyDescent="0.25">
      <c r="E20" s="4" t="s">
        <v>187</v>
      </c>
      <c r="F20">
        <v>4</v>
      </c>
      <c r="G20">
        <v>80469</v>
      </c>
    </row>
    <row r="21" spans="1:10" x14ac:dyDescent="0.25">
      <c r="E21" s="4" t="s">
        <v>176</v>
      </c>
      <c r="F21">
        <v>30</v>
      </c>
      <c r="G21">
        <v>785541</v>
      </c>
    </row>
    <row r="23" spans="1:10" x14ac:dyDescent="0.25">
      <c r="A23" t="s">
        <v>210</v>
      </c>
      <c r="E23" s="3" t="s">
        <v>175</v>
      </c>
      <c r="F23" t="s">
        <v>212</v>
      </c>
      <c r="G23" t="s">
        <v>210</v>
      </c>
    </row>
    <row r="24" spans="1:10" x14ac:dyDescent="0.25">
      <c r="A24">
        <v>30</v>
      </c>
      <c r="E24" s="4" t="s">
        <v>178</v>
      </c>
      <c r="F24">
        <v>91056</v>
      </c>
      <c r="G24">
        <v>3</v>
      </c>
    </row>
    <row r="25" spans="1:10" x14ac:dyDescent="0.25">
      <c r="E25" s="4" t="s">
        <v>179</v>
      </c>
      <c r="F25">
        <v>14341</v>
      </c>
      <c r="G25">
        <v>1</v>
      </c>
    </row>
    <row r="26" spans="1:10" x14ac:dyDescent="0.25">
      <c r="E26" s="4" t="s">
        <v>180</v>
      </c>
      <c r="F26">
        <v>43861</v>
      </c>
      <c r="G26">
        <v>1</v>
      </c>
    </row>
    <row r="27" spans="1:10" x14ac:dyDescent="0.25">
      <c r="E27" s="4" t="s">
        <v>181</v>
      </c>
      <c r="F27">
        <v>115886</v>
      </c>
      <c r="G27">
        <v>5</v>
      </c>
    </row>
    <row r="28" spans="1:10" x14ac:dyDescent="0.25">
      <c r="E28" s="4" t="s">
        <v>182</v>
      </c>
      <c r="F28">
        <v>45803</v>
      </c>
      <c r="G28">
        <v>2</v>
      </c>
    </row>
    <row r="29" spans="1:10" x14ac:dyDescent="0.25">
      <c r="E29" s="4" t="s">
        <v>183</v>
      </c>
      <c r="F29">
        <v>140518</v>
      </c>
      <c r="G29">
        <v>4</v>
      </c>
    </row>
    <row r="30" spans="1:10" x14ac:dyDescent="0.25">
      <c r="E30" s="4" t="s">
        <v>184</v>
      </c>
      <c r="F30">
        <v>15431</v>
      </c>
      <c r="G30">
        <v>2</v>
      </c>
    </row>
    <row r="31" spans="1:10" x14ac:dyDescent="0.25">
      <c r="E31" s="4" t="s">
        <v>185</v>
      </c>
      <c r="F31">
        <v>87783</v>
      </c>
      <c r="G31">
        <v>3</v>
      </c>
    </row>
    <row r="32" spans="1:10" x14ac:dyDescent="0.25">
      <c r="E32" s="4" t="s">
        <v>186</v>
      </c>
      <c r="F32">
        <v>150393</v>
      </c>
      <c r="G32">
        <v>5</v>
      </c>
    </row>
    <row r="33" spans="5:7" x14ac:dyDescent="0.25">
      <c r="E33" s="4" t="s">
        <v>187</v>
      </c>
      <c r="F33">
        <v>80469</v>
      </c>
      <c r="G33">
        <v>4</v>
      </c>
    </row>
    <row r="34" spans="5:7" x14ac:dyDescent="0.25">
      <c r="E34" s="4" t="s">
        <v>176</v>
      </c>
      <c r="F34">
        <v>785541</v>
      </c>
      <c r="G34">
        <v>30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3B602-7EDA-4DDD-BD07-90D01C8F2B8D}">
  <dimension ref="C2:Q37"/>
  <sheetViews>
    <sheetView showGridLines="0" topLeftCell="E19" workbookViewId="0">
      <selection activeCell="A25" sqref="A25"/>
    </sheetView>
  </sheetViews>
  <sheetFormatPr defaultColWidth="11.5703125" defaultRowHeight="15" x14ac:dyDescent="0.25"/>
  <cols>
    <col min="11" max="11" width="19.140625" bestFit="1" customWidth="1"/>
    <col min="12" max="12" width="21.140625" bestFit="1" customWidth="1"/>
    <col min="13" max="13" width="13.140625" bestFit="1" customWidth="1"/>
    <col min="14" max="14" width="11.7109375" bestFit="1" customWidth="1"/>
    <col min="15" max="15" width="26.5703125" customWidth="1"/>
    <col min="16" max="16" width="28.140625" customWidth="1"/>
  </cols>
  <sheetData>
    <row r="2" spans="3:17" ht="15.75" thickBot="1" x14ac:dyDescent="0.3"/>
    <row r="3" spans="3:17" ht="15" customHeight="1" x14ac:dyDescent="0.25">
      <c r="C3" s="69" t="s">
        <v>222</v>
      </c>
      <c r="D3" s="70"/>
      <c r="E3" s="70"/>
      <c r="F3" s="70"/>
      <c r="G3" s="70"/>
      <c r="H3" s="70"/>
      <c r="I3" s="70"/>
      <c r="J3" s="70"/>
      <c r="K3" s="70"/>
      <c r="L3" s="70"/>
      <c r="M3" s="70"/>
      <c r="N3" s="70"/>
      <c r="O3" s="70"/>
      <c r="P3" s="70"/>
      <c r="Q3" s="71"/>
    </row>
    <row r="4" spans="3:17" ht="15.75" customHeight="1" thickBot="1" x14ac:dyDescent="0.3">
      <c r="C4" s="72"/>
      <c r="D4" s="73"/>
      <c r="E4" s="73"/>
      <c r="F4" s="73"/>
      <c r="G4" s="73"/>
      <c r="H4" s="73"/>
      <c r="I4" s="73"/>
      <c r="J4" s="73"/>
      <c r="K4" s="73"/>
      <c r="L4" s="73"/>
      <c r="M4" s="73"/>
      <c r="N4" s="73"/>
      <c r="O4" s="73"/>
      <c r="P4" s="73"/>
      <c r="Q4" s="74"/>
    </row>
    <row r="5" spans="3:17" ht="15.75" thickBot="1" x14ac:dyDescent="0.3">
      <c r="C5" s="9"/>
      <c r="Q5" s="5"/>
    </row>
    <row r="6" spans="3:17" x14ac:dyDescent="0.25">
      <c r="C6" s="9"/>
      <c r="P6" s="40" t="s">
        <v>221</v>
      </c>
      <c r="Q6" s="5"/>
    </row>
    <row r="7" spans="3:17" ht="15.75" thickBot="1" x14ac:dyDescent="0.3">
      <c r="C7" s="9"/>
      <c r="P7" s="41">
        <v>291137</v>
      </c>
      <c r="Q7" s="5"/>
    </row>
    <row r="8" spans="3:17" x14ac:dyDescent="0.25">
      <c r="C8" s="9"/>
      <c r="P8" s="40" t="s">
        <v>220</v>
      </c>
      <c r="Q8" s="5"/>
    </row>
    <row r="9" spans="3:17" ht="15.75" thickBot="1" x14ac:dyDescent="0.3">
      <c r="C9" s="9"/>
      <c r="P9" s="41">
        <v>154861</v>
      </c>
      <c r="Q9" s="5"/>
    </row>
    <row r="10" spans="3:17" x14ac:dyDescent="0.25">
      <c r="C10" s="9"/>
      <c r="P10" s="42" t="s">
        <v>217</v>
      </c>
      <c r="Q10" s="5"/>
    </row>
    <row r="11" spans="3:17" ht="15.75" thickBot="1" x14ac:dyDescent="0.3">
      <c r="C11" s="9"/>
      <c r="P11" s="43">
        <f>(GETPIVOTDATA("Expense Amount",'Pivot Expense Tracking'!$L$3)-GETPIVOTDATA("Budget",'Pivot Expense Tracking'!$K$3))/GETPIVOTDATA("Budget",'Pivot Expense Tracking'!$K$3)</f>
        <v>-0.46808203697915413</v>
      </c>
      <c r="Q11" s="5"/>
    </row>
    <row r="12" spans="3:17" x14ac:dyDescent="0.25">
      <c r="C12" s="9"/>
      <c r="Q12" s="5"/>
    </row>
    <row r="13" spans="3:17" ht="15.75" thickBot="1" x14ac:dyDescent="0.3">
      <c r="C13" s="9"/>
      <c r="Q13" s="5"/>
    </row>
    <row r="14" spans="3:17" x14ac:dyDescent="0.25">
      <c r="C14" s="9"/>
      <c r="K14" s="11" t="s">
        <v>232</v>
      </c>
      <c r="L14" s="12" t="s">
        <v>208</v>
      </c>
      <c r="N14" s="11" t="s">
        <v>233</v>
      </c>
      <c r="O14" s="12" t="s">
        <v>209</v>
      </c>
      <c r="Q14" s="5"/>
    </row>
    <row r="15" spans="3:17" x14ac:dyDescent="0.25">
      <c r="C15" s="9"/>
      <c r="K15" s="6" t="s">
        <v>116</v>
      </c>
      <c r="L15" s="44">
        <v>0.13974520586527991</v>
      </c>
      <c r="N15" s="6" t="s">
        <v>120</v>
      </c>
      <c r="O15" s="5">
        <v>44382</v>
      </c>
      <c r="Q15" s="5"/>
    </row>
    <row r="16" spans="3:17" x14ac:dyDescent="0.25">
      <c r="C16" s="9"/>
      <c r="K16" s="6" t="s">
        <v>124</v>
      </c>
      <c r="L16" s="44">
        <v>0.19050481388487206</v>
      </c>
      <c r="N16" s="6" t="s">
        <v>125</v>
      </c>
      <c r="O16" s="5">
        <v>41850</v>
      </c>
      <c r="Q16" s="5"/>
    </row>
    <row r="17" spans="3:17" x14ac:dyDescent="0.25">
      <c r="C17" s="9"/>
      <c r="K17" s="6" t="s">
        <v>122</v>
      </c>
      <c r="L17" s="44">
        <v>0.27043968990543971</v>
      </c>
      <c r="N17" s="6" t="s">
        <v>117</v>
      </c>
      <c r="O17" s="5">
        <v>42605</v>
      </c>
      <c r="Q17" s="5"/>
    </row>
    <row r="18" spans="3:17" x14ac:dyDescent="0.25">
      <c r="C18" s="9"/>
      <c r="K18" s="6" t="s">
        <v>119</v>
      </c>
      <c r="L18" s="44">
        <v>0.39931029034440829</v>
      </c>
      <c r="N18" s="6" t="s">
        <v>123</v>
      </c>
      <c r="O18" s="5">
        <v>26024</v>
      </c>
      <c r="Q18" s="5"/>
    </row>
    <row r="19" spans="3:17" ht="15.75" thickBot="1" x14ac:dyDescent="0.3">
      <c r="C19" s="9"/>
      <c r="K19" s="32" t="s">
        <v>176</v>
      </c>
      <c r="L19" s="45">
        <v>1</v>
      </c>
      <c r="N19" s="32" t="s">
        <v>176</v>
      </c>
      <c r="O19" s="7">
        <v>154861</v>
      </c>
      <c r="Q19" s="5"/>
    </row>
    <row r="20" spans="3:17" ht="15.75" thickBot="1" x14ac:dyDescent="0.3">
      <c r="C20" s="9"/>
      <c r="Q20" s="5"/>
    </row>
    <row r="21" spans="3:17" x14ac:dyDescent="0.25">
      <c r="C21" s="9"/>
      <c r="K21" s="11" t="s">
        <v>189</v>
      </c>
      <c r="L21" s="12" t="s">
        <v>234</v>
      </c>
      <c r="N21" s="11" t="s">
        <v>23</v>
      </c>
      <c r="O21" s="37" t="s">
        <v>208</v>
      </c>
      <c r="P21" s="12" t="s">
        <v>209</v>
      </c>
      <c r="Q21" s="5"/>
    </row>
    <row r="22" spans="3:17" x14ac:dyDescent="0.25">
      <c r="C22" s="9"/>
      <c r="K22" s="6" t="s">
        <v>177</v>
      </c>
      <c r="L22" s="5">
        <v>3137</v>
      </c>
      <c r="N22" s="6" t="s">
        <v>118</v>
      </c>
      <c r="O22">
        <v>100201</v>
      </c>
      <c r="P22" s="5">
        <v>54260</v>
      </c>
      <c r="Q22" s="5"/>
    </row>
    <row r="23" spans="3:17" x14ac:dyDescent="0.25">
      <c r="C23" s="9"/>
      <c r="K23" s="6" t="s">
        <v>178</v>
      </c>
      <c r="L23" s="5">
        <v>1399</v>
      </c>
      <c r="N23" s="6" t="s">
        <v>35</v>
      </c>
      <c r="O23">
        <v>86839</v>
      </c>
      <c r="P23" s="5">
        <v>48167</v>
      </c>
      <c r="Q23" s="5"/>
    </row>
    <row r="24" spans="3:17" x14ac:dyDescent="0.25">
      <c r="C24" s="9"/>
      <c r="K24" s="6" t="s">
        <v>179</v>
      </c>
      <c r="L24" s="5">
        <v>2771</v>
      </c>
      <c r="N24" s="6" t="s">
        <v>126</v>
      </c>
      <c r="O24">
        <v>21818</v>
      </c>
      <c r="P24" s="5">
        <v>11562</v>
      </c>
      <c r="Q24" s="5"/>
    </row>
    <row r="25" spans="3:17" x14ac:dyDescent="0.25">
      <c r="C25" s="9"/>
      <c r="K25" s="6" t="s">
        <v>180</v>
      </c>
      <c r="L25" s="5">
        <v>18690</v>
      </c>
      <c r="N25" s="6" t="s">
        <v>121</v>
      </c>
      <c r="O25">
        <v>82279</v>
      </c>
      <c r="P25" s="5">
        <v>40872</v>
      </c>
      <c r="Q25" s="5"/>
    </row>
    <row r="26" spans="3:17" ht="15.75" thickBot="1" x14ac:dyDescent="0.3">
      <c r="C26" s="9"/>
      <c r="K26" s="6" t="s">
        <v>181</v>
      </c>
      <c r="L26" s="5">
        <v>7390</v>
      </c>
      <c r="N26" s="32" t="s">
        <v>176</v>
      </c>
      <c r="O26" s="8">
        <v>291137</v>
      </c>
      <c r="P26" s="7">
        <v>154861</v>
      </c>
      <c r="Q26" s="5"/>
    </row>
    <row r="27" spans="3:17" x14ac:dyDescent="0.25">
      <c r="C27" s="9"/>
      <c r="K27" s="6" t="s">
        <v>182</v>
      </c>
      <c r="L27" s="5">
        <v>6608</v>
      </c>
      <c r="Q27" s="5"/>
    </row>
    <row r="28" spans="3:17" x14ac:dyDescent="0.25">
      <c r="C28" s="9"/>
      <c r="K28" s="6" t="s">
        <v>183</v>
      </c>
      <c r="L28" s="5">
        <v>40058</v>
      </c>
      <c r="Q28" s="5"/>
    </row>
    <row r="29" spans="3:17" x14ac:dyDescent="0.25">
      <c r="C29" s="9"/>
      <c r="K29" s="6" t="s">
        <v>184</v>
      </c>
      <c r="L29" s="5">
        <v>21858</v>
      </c>
      <c r="Q29" s="5"/>
    </row>
    <row r="30" spans="3:17" x14ac:dyDescent="0.25">
      <c r="C30" s="9"/>
      <c r="K30" s="6" t="s">
        <v>185</v>
      </c>
      <c r="L30" s="5">
        <v>23100</v>
      </c>
      <c r="Q30" s="5"/>
    </row>
    <row r="31" spans="3:17" x14ac:dyDescent="0.25">
      <c r="C31" s="9"/>
      <c r="K31" s="6" t="s">
        <v>186</v>
      </c>
      <c r="L31" s="5">
        <v>7045</v>
      </c>
      <c r="Q31" s="5"/>
    </row>
    <row r="32" spans="3:17" x14ac:dyDescent="0.25">
      <c r="C32" s="9"/>
      <c r="K32" s="6" t="s">
        <v>187</v>
      </c>
      <c r="L32" s="5">
        <v>12382</v>
      </c>
      <c r="Q32" s="5"/>
    </row>
    <row r="33" spans="3:17" x14ac:dyDescent="0.25">
      <c r="C33" s="9"/>
      <c r="K33" s="6" t="s">
        <v>188</v>
      </c>
      <c r="L33" s="5">
        <v>10423</v>
      </c>
      <c r="Q33" s="5"/>
    </row>
    <row r="34" spans="3:17" ht="15.75" thickBot="1" x14ac:dyDescent="0.3">
      <c r="C34" s="9"/>
      <c r="K34" s="32" t="s">
        <v>176</v>
      </c>
      <c r="L34" s="7">
        <v>154861</v>
      </c>
      <c r="Q34" s="5"/>
    </row>
    <row r="35" spans="3:17" x14ac:dyDescent="0.25">
      <c r="C35" s="9"/>
      <c r="Q35" s="5"/>
    </row>
    <row r="36" spans="3:17" x14ac:dyDescent="0.25">
      <c r="C36" s="9"/>
      <c r="Q36" s="5"/>
    </row>
    <row r="37" spans="3:17" ht="15.75" thickBot="1" x14ac:dyDescent="0.3">
      <c r="C37" s="10"/>
      <c r="D37" s="8"/>
      <c r="E37" s="8"/>
      <c r="F37" s="8"/>
      <c r="G37" s="8"/>
      <c r="H37" s="8"/>
      <c r="I37" s="8"/>
      <c r="J37" s="8"/>
      <c r="K37" s="8"/>
      <c r="L37" s="8"/>
      <c r="M37" s="8"/>
      <c r="N37" s="8"/>
      <c r="O37" s="8"/>
      <c r="P37" s="8"/>
      <c r="Q37" s="7"/>
    </row>
  </sheetData>
  <mergeCells count="1">
    <mergeCell ref="C3:Q4"/>
  </mergeCells>
  <conditionalFormatting sqref="K14:L19">
    <cfRule type="colorScale" priority="1">
      <colorScale>
        <cfvo type="min"/>
        <cfvo type="percentile" val="50"/>
        <cfvo type="max"/>
        <color rgb="FFF8696B"/>
        <color rgb="FFFFEB84"/>
        <color rgb="FF63BE7B"/>
      </colorScale>
    </cfRule>
  </conditionalFormatting>
  <conditionalFormatting sqref="P6">
    <cfRule type="colorScale" priority="10">
      <colorScale>
        <cfvo type="min"/>
        <cfvo type="percentile" val="50"/>
        <cfvo type="max"/>
        <color rgb="FFF8696B"/>
        <color rgb="FFFFEB84"/>
        <color rgb="FF63BE7B"/>
      </colorScale>
    </cfRule>
  </conditionalFormatting>
  <conditionalFormatting sqref="P8">
    <cfRule type="colorScale" priority="2">
      <colorScale>
        <cfvo type="min"/>
        <cfvo type="percentile" val="50"/>
        <cfvo type="max"/>
        <color rgb="FFF8696B"/>
        <color rgb="FFFFEB84"/>
        <color rgb="FF63BE7B"/>
      </colorScale>
    </cfRule>
  </conditionalFormatting>
  <pageMargins left="0.7" right="0.7" top="0.75" bottom="0.75" header="0.3" footer="0.3"/>
  <drawing r:id="rId7"/>
  <extLst>
    <ext xmlns:x15="http://schemas.microsoft.com/office/spreadsheetml/2010/11/main" uri="{7E03D99C-DC04-49d9-9315-930204A7B6E9}">
      <x15:timelineRefs>
        <x15:timelineRef r:id="rId8"/>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workbookViewId="0">
      <selection activeCell="L13" sqref="L13"/>
    </sheetView>
  </sheetViews>
  <sheetFormatPr defaultRowHeight="15" x14ac:dyDescent="0.25"/>
  <cols>
    <col min="1" max="1" width="8.42578125" bestFit="1" customWidth="1"/>
    <col min="2" max="2" width="15.42578125" bestFit="1" customWidth="1"/>
    <col min="3" max="4" width="18.28515625" bestFit="1" customWidth="1"/>
    <col min="5" max="5" width="12" bestFit="1" customWidth="1"/>
    <col min="6" max="6" width="11.7109375" bestFit="1" customWidth="1"/>
    <col min="7" max="7" width="14.42578125" bestFit="1" customWidth="1"/>
    <col min="8" max="8" width="23" bestFit="1" customWidth="1"/>
  </cols>
  <sheetData>
    <row r="1" spans="1:8" x14ac:dyDescent="0.25">
      <c r="A1" s="1" t="s">
        <v>127</v>
      </c>
      <c r="B1" s="1" t="s">
        <v>128</v>
      </c>
      <c r="C1" s="1" t="s">
        <v>129</v>
      </c>
      <c r="D1" s="1" t="s">
        <v>130</v>
      </c>
      <c r="E1" s="1" t="s">
        <v>3</v>
      </c>
      <c r="F1" s="1" t="s">
        <v>131</v>
      </c>
      <c r="G1" s="1" t="s">
        <v>132</v>
      </c>
      <c r="H1" s="1" t="s">
        <v>133</v>
      </c>
    </row>
    <row r="2" spans="1:8" x14ac:dyDescent="0.25">
      <c r="A2" t="s">
        <v>134</v>
      </c>
      <c r="B2" t="s">
        <v>135</v>
      </c>
      <c r="C2" s="2">
        <v>45049</v>
      </c>
      <c r="D2" s="2">
        <v>45056</v>
      </c>
      <c r="E2" t="s">
        <v>136</v>
      </c>
      <c r="F2">
        <v>6604</v>
      </c>
      <c r="G2" t="s">
        <v>137</v>
      </c>
      <c r="H2">
        <v>7</v>
      </c>
    </row>
    <row r="3" spans="1:8" x14ac:dyDescent="0.25">
      <c r="A3" t="s">
        <v>138</v>
      </c>
      <c r="B3" t="s">
        <v>135</v>
      </c>
      <c r="C3" s="2">
        <v>45065</v>
      </c>
      <c r="D3" s="2">
        <v>45066</v>
      </c>
      <c r="E3" t="s">
        <v>139</v>
      </c>
      <c r="F3">
        <v>32671</v>
      </c>
      <c r="G3" t="s">
        <v>137</v>
      </c>
      <c r="H3">
        <v>1</v>
      </c>
    </row>
    <row r="4" spans="1:8" x14ac:dyDescent="0.25">
      <c r="A4" t="s">
        <v>140</v>
      </c>
      <c r="B4" t="s">
        <v>141</v>
      </c>
      <c r="C4" s="2">
        <v>44977</v>
      </c>
      <c r="D4" s="2">
        <v>44983</v>
      </c>
      <c r="E4" t="s">
        <v>139</v>
      </c>
      <c r="F4">
        <v>38799</v>
      </c>
      <c r="G4" t="s">
        <v>137</v>
      </c>
      <c r="H4">
        <v>6</v>
      </c>
    </row>
    <row r="5" spans="1:8" x14ac:dyDescent="0.25">
      <c r="A5" t="s">
        <v>142</v>
      </c>
      <c r="B5" t="s">
        <v>143</v>
      </c>
      <c r="C5" s="2">
        <v>45200</v>
      </c>
      <c r="D5" s="2">
        <v>45203</v>
      </c>
      <c r="E5" t="s">
        <v>144</v>
      </c>
      <c r="F5">
        <v>40016</v>
      </c>
      <c r="G5" t="s">
        <v>137</v>
      </c>
      <c r="H5">
        <v>3</v>
      </c>
    </row>
    <row r="6" spans="1:8" x14ac:dyDescent="0.25">
      <c r="A6" t="s">
        <v>145</v>
      </c>
      <c r="B6" t="s">
        <v>143</v>
      </c>
      <c r="C6" s="2">
        <v>45223</v>
      </c>
      <c r="D6" s="2">
        <v>45233</v>
      </c>
      <c r="E6" t="s">
        <v>139</v>
      </c>
      <c r="F6">
        <v>15591</v>
      </c>
      <c r="G6" t="s">
        <v>146</v>
      </c>
      <c r="H6">
        <v>10</v>
      </c>
    </row>
    <row r="7" spans="1:8" x14ac:dyDescent="0.25">
      <c r="A7" t="s">
        <v>147</v>
      </c>
      <c r="B7" t="s">
        <v>148</v>
      </c>
      <c r="C7" s="2">
        <v>45238</v>
      </c>
      <c r="D7" s="2">
        <v>45243</v>
      </c>
      <c r="E7" t="s">
        <v>149</v>
      </c>
      <c r="F7">
        <v>6929</v>
      </c>
      <c r="G7" t="s">
        <v>146</v>
      </c>
      <c r="H7">
        <v>5</v>
      </c>
    </row>
    <row r="8" spans="1:8" x14ac:dyDescent="0.25">
      <c r="A8" t="s">
        <v>150</v>
      </c>
      <c r="B8" t="s">
        <v>141</v>
      </c>
      <c r="C8" s="2">
        <v>45111</v>
      </c>
      <c r="D8" s="2">
        <v>45120</v>
      </c>
      <c r="E8" t="s">
        <v>139</v>
      </c>
      <c r="F8">
        <v>32236</v>
      </c>
      <c r="G8" t="s">
        <v>137</v>
      </c>
      <c r="H8">
        <v>9</v>
      </c>
    </row>
    <row r="9" spans="1:8" x14ac:dyDescent="0.25">
      <c r="A9" t="s">
        <v>151</v>
      </c>
      <c r="B9" t="s">
        <v>141</v>
      </c>
      <c r="C9" s="2">
        <v>45143</v>
      </c>
      <c r="D9" s="2">
        <v>45153</v>
      </c>
      <c r="E9" t="s">
        <v>136</v>
      </c>
      <c r="F9">
        <v>7082</v>
      </c>
      <c r="G9" t="s">
        <v>137</v>
      </c>
      <c r="H9">
        <v>10</v>
      </c>
    </row>
    <row r="10" spans="1:8" x14ac:dyDescent="0.25">
      <c r="A10" t="s">
        <v>152</v>
      </c>
      <c r="B10" t="s">
        <v>148</v>
      </c>
      <c r="C10" s="2">
        <v>45125</v>
      </c>
      <c r="D10" s="2">
        <v>45132</v>
      </c>
      <c r="E10" t="s">
        <v>136</v>
      </c>
      <c r="F10">
        <v>40232</v>
      </c>
      <c r="G10" t="s">
        <v>137</v>
      </c>
      <c r="H10">
        <v>7</v>
      </c>
    </row>
    <row r="11" spans="1:8" x14ac:dyDescent="0.25">
      <c r="A11" t="s">
        <v>153</v>
      </c>
      <c r="B11" t="s">
        <v>135</v>
      </c>
      <c r="C11" s="2">
        <v>45199</v>
      </c>
      <c r="D11" s="2">
        <v>45206</v>
      </c>
      <c r="E11" t="s">
        <v>144</v>
      </c>
      <c r="F11">
        <v>34502</v>
      </c>
      <c r="G11" t="s">
        <v>137</v>
      </c>
      <c r="H11">
        <v>7</v>
      </c>
    </row>
    <row r="12" spans="1:8" x14ac:dyDescent="0.25">
      <c r="A12" t="s">
        <v>154</v>
      </c>
      <c r="B12" t="s">
        <v>141</v>
      </c>
      <c r="C12" s="2">
        <v>45068</v>
      </c>
      <c r="D12" s="2">
        <v>45070</v>
      </c>
      <c r="E12" t="s">
        <v>149</v>
      </c>
      <c r="F12">
        <v>22818</v>
      </c>
      <c r="G12" t="s">
        <v>146</v>
      </c>
      <c r="H12">
        <v>2</v>
      </c>
    </row>
    <row r="13" spans="1:8" x14ac:dyDescent="0.25">
      <c r="A13" t="s">
        <v>155</v>
      </c>
      <c r="B13" t="s">
        <v>143</v>
      </c>
      <c r="C13" s="2">
        <v>45207</v>
      </c>
      <c r="D13" s="2">
        <v>45217</v>
      </c>
      <c r="E13" t="s">
        <v>144</v>
      </c>
      <c r="F13">
        <v>45236</v>
      </c>
      <c r="G13" t="s">
        <v>146</v>
      </c>
      <c r="H13">
        <v>10</v>
      </c>
    </row>
    <row r="14" spans="1:8" x14ac:dyDescent="0.25">
      <c r="A14" t="s">
        <v>156</v>
      </c>
      <c r="B14" t="s">
        <v>148</v>
      </c>
      <c r="C14" s="2">
        <v>45130</v>
      </c>
      <c r="D14" s="2">
        <v>45137</v>
      </c>
      <c r="E14" t="s">
        <v>149</v>
      </c>
      <c r="F14">
        <v>47188</v>
      </c>
      <c r="G14" t="s">
        <v>137</v>
      </c>
      <c r="H14">
        <v>7</v>
      </c>
    </row>
    <row r="15" spans="1:8" x14ac:dyDescent="0.25">
      <c r="A15" t="s">
        <v>157</v>
      </c>
      <c r="B15" t="s">
        <v>143</v>
      </c>
      <c r="C15" s="2">
        <v>45182</v>
      </c>
      <c r="D15" s="2">
        <v>45188</v>
      </c>
      <c r="E15" t="s">
        <v>149</v>
      </c>
      <c r="F15">
        <v>40135</v>
      </c>
      <c r="G15" t="s">
        <v>146</v>
      </c>
      <c r="H15">
        <v>6</v>
      </c>
    </row>
    <row r="16" spans="1:8" x14ac:dyDescent="0.25">
      <c r="A16" t="s">
        <v>158</v>
      </c>
      <c r="B16" t="s">
        <v>159</v>
      </c>
      <c r="C16" s="2">
        <v>45218</v>
      </c>
      <c r="D16" s="2">
        <v>45221</v>
      </c>
      <c r="E16" t="s">
        <v>139</v>
      </c>
      <c r="F16">
        <v>36682</v>
      </c>
      <c r="G16" t="s">
        <v>146</v>
      </c>
      <c r="H16">
        <v>3</v>
      </c>
    </row>
    <row r="17" spans="1:8" x14ac:dyDescent="0.25">
      <c r="A17" t="s">
        <v>160</v>
      </c>
      <c r="B17" t="s">
        <v>143</v>
      </c>
      <c r="C17" s="2">
        <v>45006</v>
      </c>
      <c r="D17" s="2">
        <v>45013</v>
      </c>
      <c r="E17" t="s">
        <v>136</v>
      </c>
      <c r="F17">
        <v>14341</v>
      </c>
      <c r="G17" t="s">
        <v>146</v>
      </c>
      <c r="H17">
        <v>7</v>
      </c>
    </row>
    <row r="18" spans="1:8" x14ac:dyDescent="0.25">
      <c r="A18" t="s">
        <v>161</v>
      </c>
      <c r="B18" t="s">
        <v>159</v>
      </c>
      <c r="C18" s="2">
        <v>45135</v>
      </c>
      <c r="D18" s="2">
        <v>45141</v>
      </c>
      <c r="E18" t="s">
        <v>149</v>
      </c>
      <c r="F18">
        <v>20862</v>
      </c>
      <c r="G18" t="s">
        <v>146</v>
      </c>
      <c r="H18">
        <v>6</v>
      </c>
    </row>
    <row r="19" spans="1:8" x14ac:dyDescent="0.25">
      <c r="A19" t="s">
        <v>162</v>
      </c>
      <c r="B19" t="s">
        <v>143</v>
      </c>
      <c r="C19" s="2">
        <v>44958</v>
      </c>
      <c r="D19" s="2">
        <v>44959</v>
      </c>
      <c r="E19" t="s">
        <v>139</v>
      </c>
      <c r="F19">
        <v>46396</v>
      </c>
      <c r="G19" t="s">
        <v>137</v>
      </c>
      <c r="H19">
        <v>1</v>
      </c>
    </row>
    <row r="20" spans="1:8" x14ac:dyDescent="0.25">
      <c r="A20" t="s">
        <v>163</v>
      </c>
      <c r="B20" t="s">
        <v>141</v>
      </c>
      <c r="C20" s="2">
        <v>45196</v>
      </c>
      <c r="D20" s="2">
        <v>45197</v>
      </c>
      <c r="E20" t="s">
        <v>139</v>
      </c>
      <c r="F20">
        <v>13146</v>
      </c>
      <c r="G20" t="s">
        <v>146</v>
      </c>
      <c r="H20">
        <v>1</v>
      </c>
    </row>
    <row r="21" spans="1:8" x14ac:dyDescent="0.25">
      <c r="A21" t="s">
        <v>164</v>
      </c>
      <c r="B21" t="s">
        <v>159</v>
      </c>
      <c r="C21" s="2">
        <v>45253</v>
      </c>
      <c r="D21" s="2">
        <v>45261</v>
      </c>
      <c r="E21" t="s">
        <v>136</v>
      </c>
      <c r="F21">
        <v>30201</v>
      </c>
      <c r="G21" t="s">
        <v>137</v>
      </c>
      <c r="H21">
        <v>8</v>
      </c>
    </row>
    <row r="22" spans="1:8" x14ac:dyDescent="0.25">
      <c r="A22" t="s">
        <v>165</v>
      </c>
      <c r="B22" t="s">
        <v>159</v>
      </c>
      <c r="C22" s="2">
        <v>45090</v>
      </c>
      <c r="D22" s="2">
        <v>45096</v>
      </c>
      <c r="E22" t="s">
        <v>139</v>
      </c>
      <c r="F22">
        <v>14442</v>
      </c>
      <c r="G22" t="s">
        <v>146</v>
      </c>
      <c r="H22">
        <v>6</v>
      </c>
    </row>
    <row r="23" spans="1:8" x14ac:dyDescent="0.25">
      <c r="A23" t="s">
        <v>166</v>
      </c>
      <c r="B23" t="s">
        <v>135</v>
      </c>
      <c r="C23" s="2">
        <v>45039</v>
      </c>
      <c r="D23" s="2">
        <v>45049</v>
      </c>
      <c r="E23" t="s">
        <v>136</v>
      </c>
      <c r="F23">
        <v>43861</v>
      </c>
      <c r="G23" t="s">
        <v>137</v>
      </c>
      <c r="H23">
        <v>10</v>
      </c>
    </row>
    <row r="24" spans="1:8" x14ac:dyDescent="0.25">
      <c r="A24" t="s">
        <v>167</v>
      </c>
      <c r="B24" t="s">
        <v>143</v>
      </c>
      <c r="C24" s="2">
        <v>45141</v>
      </c>
      <c r="D24" s="2">
        <v>45148</v>
      </c>
      <c r="E24" t="s">
        <v>139</v>
      </c>
      <c r="F24">
        <v>8349</v>
      </c>
      <c r="G24" t="s">
        <v>146</v>
      </c>
      <c r="H24">
        <v>7</v>
      </c>
    </row>
    <row r="25" spans="1:8" x14ac:dyDescent="0.25">
      <c r="A25" t="s">
        <v>168</v>
      </c>
      <c r="B25" t="s">
        <v>141</v>
      </c>
      <c r="C25" s="2">
        <v>45071</v>
      </c>
      <c r="D25" s="2">
        <v>45072</v>
      </c>
      <c r="E25" t="s">
        <v>144</v>
      </c>
      <c r="F25">
        <v>5730</v>
      </c>
      <c r="G25" t="s">
        <v>137</v>
      </c>
      <c r="H25">
        <v>1</v>
      </c>
    </row>
    <row r="26" spans="1:8" x14ac:dyDescent="0.25">
      <c r="A26" t="s">
        <v>169</v>
      </c>
      <c r="B26" t="s">
        <v>143</v>
      </c>
      <c r="C26" s="2">
        <v>45050</v>
      </c>
      <c r="D26" s="2">
        <v>45057</v>
      </c>
      <c r="E26" t="s">
        <v>136</v>
      </c>
      <c r="F26">
        <v>48063</v>
      </c>
      <c r="G26" t="s">
        <v>146</v>
      </c>
      <c r="H26">
        <v>7</v>
      </c>
    </row>
    <row r="27" spans="1:8" x14ac:dyDescent="0.25">
      <c r="A27" t="s">
        <v>170</v>
      </c>
      <c r="B27" t="s">
        <v>135</v>
      </c>
      <c r="C27" s="2">
        <v>45211</v>
      </c>
      <c r="D27" s="2">
        <v>45213</v>
      </c>
      <c r="E27" t="s">
        <v>136</v>
      </c>
      <c r="F27">
        <v>12868</v>
      </c>
      <c r="G27" t="s">
        <v>137</v>
      </c>
      <c r="H27">
        <v>2</v>
      </c>
    </row>
    <row r="28" spans="1:8" x14ac:dyDescent="0.25">
      <c r="A28" t="s">
        <v>171</v>
      </c>
      <c r="B28" t="s">
        <v>148</v>
      </c>
      <c r="C28" s="2">
        <v>45081</v>
      </c>
      <c r="D28" s="2">
        <v>45090</v>
      </c>
      <c r="E28" t="s">
        <v>139</v>
      </c>
      <c r="F28">
        <v>31361</v>
      </c>
      <c r="G28" t="s">
        <v>137</v>
      </c>
      <c r="H28">
        <v>9</v>
      </c>
    </row>
    <row r="29" spans="1:8" x14ac:dyDescent="0.25">
      <c r="A29" t="s">
        <v>172</v>
      </c>
      <c r="B29" t="s">
        <v>141</v>
      </c>
      <c r="C29" s="2">
        <v>44982</v>
      </c>
      <c r="D29" s="2">
        <v>44988</v>
      </c>
      <c r="E29" t="s">
        <v>136</v>
      </c>
      <c r="F29">
        <v>5861</v>
      </c>
      <c r="G29" t="s">
        <v>146</v>
      </c>
      <c r="H29">
        <v>6</v>
      </c>
    </row>
    <row r="30" spans="1:8" x14ac:dyDescent="0.25">
      <c r="A30" t="s">
        <v>173</v>
      </c>
      <c r="B30" t="s">
        <v>159</v>
      </c>
      <c r="C30" s="2">
        <v>45236</v>
      </c>
      <c r="D30" s="2">
        <v>45245</v>
      </c>
      <c r="E30" t="s">
        <v>149</v>
      </c>
      <c r="F30">
        <v>30084</v>
      </c>
      <c r="G30" t="s">
        <v>137</v>
      </c>
      <c r="H30">
        <v>9</v>
      </c>
    </row>
    <row r="31" spans="1:8" x14ac:dyDescent="0.25">
      <c r="A31" t="s">
        <v>174</v>
      </c>
      <c r="B31" t="s">
        <v>143</v>
      </c>
      <c r="C31" s="2">
        <v>45250</v>
      </c>
      <c r="D31" s="2">
        <v>45253</v>
      </c>
      <c r="E31" t="s">
        <v>149</v>
      </c>
      <c r="F31">
        <v>13255</v>
      </c>
      <c r="G31" t="s">
        <v>137</v>
      </c>
      <c r="H31">
        <v>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EBC57-CD9F-47F9-9ADA-154DF0803CD1}">
  <dimension ref="B1:S42"/>
  <sheetViews>
    <sheetView showGridLines="0" tabSelected="1" topLeftCell="A19" zoomScale="80" zoomScaleNormal="80" workbookViewId="0">
      <selection activeCell="K31" sqref="K31"/>
    </sheetView>
  </sheetViews>
  <sheetFormatPr defaultRowHeight="15" x14ac:dyDescent="0.25"/>
  <cols>
    <col min="12" max="12" width="26.42578125" bestFit="1" customWidth="1"/>
    <col min="13" max="13" width="33.28515625" bestFit="1" customWidth="1"/>
    <col min="15" max="15" width="11.28515625" bestFit="1" customWidth="1"/>
    <col min="16" max="17" width="16.7109375" bestFit="1" customWidth="1"/>
  </cols>
  <sheetData>
    <row r="1" spans="2:19" ht="15.75" thickBot="1" x14ac:dyDescent="0.3"/>
    <row r="2" spans="2:19" ht="15.75" thickBot="1" x14ac:dyDescent="0.3">
      <c r="B2" s="21"/>
      <c r="C2" s="20"/>
      <c r="D2" s="20"/>
      <c r="E2" s="20"/>
      <c r="F2" s="20"/>
      <c r="G2" s="20"/>
      <c r="H2" s="20"/>
      <c r="I2" s="20"/>
      <c r="J2" s="20"/>
      <c r="K2" s="20"/>
      <c r="L2" s="20"/>
      <c r="M2" s="20"/>
      <c r="N2" s="20"/>
      <c r="O2" s="20"/>
      <c r="P2" s="20"/>
      <c r="Q2" s="20"/>
      <c r="R2" s="20"/>
      <c r="S2" s="12"/>
    </row>
    <row r="3" spans="2:19" x14ac:dyDescent="0.25">
      <c r="B3" s="9"/>
      <c r="C3" s="69" t="s">
        <v>223</v>
      </c>
      <c r="D3" s="70"/>
      <c r="E3" s="70"/>
      <c r="F3" s="70"/>
      <c r="G3" s="70"/>
      <c r="H3" s="70"/>
      <c r="I3" s="70"/>
      <c r="J3" s="70"/>
      <c r="K3" s="70"/>
      <c r="L3" s="70"/>
      <c r="M3" s="70"/>
      <c r="N3" s="70"/>
      <c r="O3" s="70"/>
      <c r="P3" s="70"/>
      <c r="Q3" s="70"/>
      <c r="R3" s="71"/>
      <c r="S3" s="5"/>
    </row>
    <row r="4" spans="2:19" ht="15.75" thickBot="1" x14ac:dyDescent="0.3">
      <c r="B4" s="9"/>
      <c r="C4" s="72"/>
      <c r="D4" s="73"/>
      <c r="E4" s="73"/>
      <c r="F4" s="73"/>
      <c r="G4" s="73"/>
      <c r="H4" s="73"/>
      <c r="I4" s="73"/>
      <c r="J4" s="73"/>
      <c r="K4" s="73"/>
      <c r="L4" s="73"/>
      <c r="M4" s="73"/>
      <c r="N4" s="73"/>
      <c r="O4" s="73"/>
      <c r="P4" s="73"/>
      <c r="Q4" s="73"/>
      <c r="R4" s="74"/>
      <c r="S4" s="5"/>
    </row>
    <row r="5" spans="2:19" x14ac:dyDescent="0.25">
      <c r="B5" s="9"/>
      <c r="S5" s="5"/>
    </row>
    <row r="6" spans="2:19" ht="15.75" thickBot="1" x14ac:dyDescent="0.3">
      <c r="B6" s="9"/>
      <c r="S6" s="5"/>
    </row>
    <row r="7" spans="2:19" ht="15.75" thickBot="1" x14ac:dyDescent="0.3">
      <c r="B7" s="9"/>
      <c r="L7" s="47" t="s">
        <v>235</v>
      </c>
      <c r="M7" s="48" t="s">
        <v>236</v>
      </c>
      <c r="S7" s="5"/>
    </row>
    <row r="8" spans="2:19" ht="15.75" thickBot="1" x14ac:dyDescent="0.3">
      <c r="B8" s="9"/>
      <c r="L8" s="16" t="s">
        <v>135</v>
      </c>
      <c r="M8" s="13">
        <v>5</v>
      </c>
      <c r="S8" s="5"/>
    </row>
    <row r="9" spans="2:19" ht="15.75" thickBot="1" x14ac:dyDescent="0.3">
      <c r="B9" s="9"/>
      <c r="L9" s="36" t="s">
        <v>137</v>
      </c>
      <c r="M9" s="33">
        <v>5</v>
      </c>
      <c r="S9" s="5"/>
    </row>
    <row r="10" spans="2:19" ht="15.75" thickBot="1" x14ac:dyDescent="0.3">
      <c r="B10" s="9"/>
      <c r="L10" s="16" t="s">
        <v>159</v>
      </c>
      <c r="M10" s="33">
        <v>5</v>
      </c>
      <c r="S10" s="5"/>
    </row>
    <row r="11" spans="2:19" x14ac:dyDescent="0.25">
      <c r="B11" s="9"/>
      <c r="L11" s="18" t="s">
        <v>146</v>
      </c>
      <c r="M11" s="33">
        <v>3</v>
      </c>
      <c r="S11" s="5"/>
    </row>
    <row r="12" spans="2:19" ht="15.75" thickBot="1" x14ac:dyDescent="0.3">
      <c r="B12" s="9"/>
      <c r="L12" s="19" t="s">
        <v>137</v>
      </c>
      <c r="M12" s="33">
        <v>2</v>
      </c>
      <c r="S12" s="5"/>
    </row>
    <row r="13" spans="2:19" ht="15.75" thickBot="1" x14ac:dyDescent="0.3">
      <c r="B13" s="9"/>
      <c r="L13" s="16" t="s">
        <v>143</v>
      </c>
      <c r="M13" s="33">
        <v>9</v>
      </c>
      <c r="S13" s="5"/>
    </row>
    <row r="14" spans="2:19" x14ac:dyDescent="0.25">
      <c r="B14" s="9"/>
      <c r="L14" s="18" t="s">
        <v>146</v>
      </c>
      <c r="M14" s="33">
        <v>6</v>
      </c>
      <c r="S14" s="5"/>
    </row>
    <row r="15" spans="2:19" ht="15.75" thickBot="1" x14ac:dyDescent="0.3">
      <c r="B15" s="9"/>
      <c r="L15" s="19" t="s">
        <v>137</v>
      </c>
      <c r="M15" s="33">
        <v>3</v>
      </c>
      <c r="S15" s="5"/>
    </row>
    <row r="16" spans="2:19" ht="15.75" thickBot="1" x14ac:dyDescent="0.3">
      <c r="B16" s="9"/>
      <c r="L16" s="16" t="s">
        <v>148</v>
      </c>
      <c r="M16" s="33">
        <v>4</v>
      </c>
      <c r="O16" s="15" t="s">
        <v>189</v>
      </c>
      <c r="P16" s="30" t="s">
        <v>236</v>
      </c>
      <c r="Q16" s="22" t="s">
        <v>237</v>
      </c>
      <c r="S16" s="5"/>
    </row>
    <row r="17" spans="2:19" x14ac:dyDescent="0.25">
      <c r="B17" s="9"/>
      <c r="L17" s="18" t="s">
        <v>146</v>
      </c>
      <c r="M17" s="33">
        <v>1</v>
      </c>
      <c r="O17" s="29" t="s">
        <v>178</v>
      </c>
      <c r="P17" s="21">
        <v>3</v>
      </c>
      <c r="Q17" s="12">
        <v>91056</v>
      </c>
      <c r="S17" s="5"/>
    </row>
    <row r="18" spans="2:19" ht="15.75" thickBot="1" x14ac:dyDescent="0.3">
      <c r="B18" s="9"/>
      <c r="L18" s="19" t="s">
        <v>137</v>
      </c>
      <c r="M18" s="33">
        <v>3</v>
      </c>
      <c r="O18" s="24" t="s">
        <v>179</v>
      </c>
      <c r="P18" s="9">
        <v>1</v>
      </c>
      <c r="Q18" s="5">
        <v>14341</v>
      </c>
      <c r="S18" s="5"/>
    </row>
    <row r="19" spans="2:19" ht="15.75" thickBot="1" x14ac:dyDescent="0.3">
      <c r="B19" s="9"/>
      <c r="L19" s="16" t="s">
        <v>141</v>
      </c>
      <c r="M19" s="33">
        <v>7</v>
      </c>
      <c r="O19" s="24" t="s">
        <v>180</v>
      </c>
      <c r="P19" s="9">
        <v>1</v>
      </c>
      <c r="Q19" s="5">
        <v>43861</v>
      </c>
      <c r="S19" s="5"/>
    </row>
    <row r="20" spans="2:19" x14ac:dyDescent="0.25">
      <c r="B20" s="9"/>
      <c r="L20" s="18" t="s">
        <v>146</v>
      </c>
      <c r="M20" s="33">
        <v>3</v>
      </c>
      <c r="O20" s="24" t="s">
        <v>181</v>
      </c>
      <c r="P20" s="9">
        <v>5</v>
      </c>
      <c r="Q20" s="5">
        <v>115886</v>
      </c>
      <c r="S20" s="5"/>
    </row>
    <row r="21" spans="2:19" ht="15.75" thickBot="1" x14ac:dyDescent="0.3">
      <c r="B21" s="9"/>
      <c r="L21" s="19" t="s">
        <v>137</v>
      </c>
      <c r="M21" s="33">
        <v>4</v>
      </c>
      <c r="O21" s="24" t="s">
        <v>182</v>
      </c>
      <c r="P21" s="9">
        <v>2</v>
      </c>
      <c r="Q21" s="5">
        <v>45803</v>
      </c>
      <c r="S21" s="5"/>
    </row>
    <row r="22" spans="2:19" ht="15.75" thickBot="1" x14ac:dyDescent="0.3">
      <c r="B22" s="9"/>
      <c r="L22" s="16" t="s">
        <v>176</v>
      </c>
      <c r="M22" s="14">
        <v>30</v>
      </c>
      <c r="O22" s="24" t="s">
        <v>183</v>
      </c>
      <c r="P22" s="9">
        <v>4</v>
      </c>
      <c r="Q22" s="5">
        <v>140518</v>
      </c>
      <c r="S22" s="5"/>
    </row>
    <row r="23" spans="2:19" ht="15.75" thickBot="1" x14ac:dyDescent="0.3">
      <c r="B23" s="9"/>
      <c r="O23" s="24" t="s">
        <v>184</v>
      </c>
      <c r="P23" s="9">
        <v>2</v>
      </c>
      <c r="Q23" s="5">
        <v>15431</v>
      </c>
      <c r="S23" s="5"/>
    </row>
    <row r="24" spans="2:19" x14ac:dyDescent="0.25">
      <c r="B24" s="9"/>
      <c r="L24" s="11" t="s">
        <v>3</v>
      </c>
      <c r="M24" s="12" t="s">
        <v>211</v>
      </c>
      <c r="O24" s="24" t="s">
        <v>185</v>
      </c>
      <c r="P24" s="9">
        <v>3</v>
      </c>
      <c r="Q24" s="5">
        <v>87783</v>
      </c>
      <c r="S24" s="5"/>
    </row>
    <row r="25" spans="2:19" x14ac:dyDescent="0.25">
      <c r="B25" s="9"/>
      <c r="L25" s="6" t="s">
        <v>139</v>
      </c>
      <c r="M25" s="5">
        <v>5.3</v>
      </c>
      <c r="O25" s="24" t="s">
        <v>186</v>
      </c>
      <c r="P25" s="9">
        <v>5</v>
      </c>
      <c r="Q25" s="5">
        <v>150393</v>
      </c>
      <c r="S25" s="5"/>
    </row>
    <row r="26" spans="2:19" ht="15.75" thickBot="1" x14ac:dyDescent="0.3">
      <c r="B26" s="9"/>
      <c r="L26" s="6" t="s">
        <v>149</v>
      </c>
      <c r="M26" s="5">
        <v>5.4285714285714288</v>
      </c>
      <c r="O26" s="23" t="s">
        <v>187</v>
      </c>
      <c r="P26" s="9">
        <v>4</v>
      </c>
      <c r="Q26" s="5">
        <v>80469</v>
      </c>
      <c r="S26" s="5"/>
    </row>
    <row r="27" spans="2:19" ht="15.75" thickBot="1" x14ac:dyDescent="0.3">
      <c r="B27" s="9"/>
      <c r="L27" s="6" t="s">
        <v>144</v>
      </c>
      <c r="M27" s="5">
        <v>5.25</v>
      </c>
      <c r="O27" s="16" t="s">
        <v>176</v>
      </c>
      <c r="P27" s="10">
        <v>30</v>
      </c>
      <c r="Q27" s="7">
        <v>785541</v>
      </c>
      <c r="S27" s="5"/>
    </row>
    <row r="28" spans="2:19" ht="15.75" thickBot="1" x14ac:dyDescent="0.3">
      <c r="B28" s="9"/>
      <c r="L28" s="6" t="s">
        <v>136</v>
      </c>
      <c r="M28" s="5">
        <v>7.1111111111111107</v>
      </c>
      <c r="S28" s="5"/>
    </row>
    <row r="29" spans="2:19" ht="15.75" thickBot="1" x14ac:dyDescent="0.3">
      <c r="B29" s="9"/>
      <c r="L29" s="32" t="s">
        <v>176</v>
      </c>
      <c r="M29" s="7">
        <v>5.8666666666666663</v>
      </c>
      <c r="O29" s="15" t="s">
        <v>189</v>
      </c>
      <c r="P29" s="17" t="s">
        <v>237</v>
      </c>
      <c r="S29" s="5"/>
    </row>
    <row r="30" spans="2:19" x14ac:dyDescent="0.25">
      <c r="B30" s="9"/>
      <c r="O30" s="29" t="s">
        <v>178</v>
      </c>
      <c r="P30" s="13">
        <v>91056</v>
      </c>
      <c r="S30" s="5"/>
    </row>
    <row r="31" spans="2:19" x14ac:dyDescent="0.25">
      <c r="B31" s="9"/>
      <c r="O31" s="24" t="s">
        <v>179</v>
      </c>
      <c r="P31" s="33">
        <v>14341</v>
      </c>
      <c r="S31" s="5"/>
    </row>
    <row r="32" spans="2:19" ht="15.75" thickBot="1" x14ac:dyDescent="0.3">
      <c r="B32" s="9"/>
      <c r="O32" s="24" t="s">
        <v>180</v>
      </c>
      <c r="P32" s="33">
        <v>43861</v>
      </c>
      <c r="S32" s="5"/>
    </row>
    <row r="33" spans="2:19" ht="15.75" thickBot="1" x14ac:dyDescent="0.3">
      <c r="B33" s="9"/>
      <c r="L33" s="39" t="s">
        <v>132</v>
      </c>
      <c r="M33" s="22" t="s">
        <v>146</v>
      </c>
      <c r="O33" s="24" t="s">
        <v>181</v>
      </c>
      <c r="P33" s="33">
        <v>115886</v>
      </c>
      <c r="S33" s="5"/>
    </row>
    <row r="34" spans="2:19" ht="15.75" thickBot="1" x14ac:dyDescent="0.3">
      <c r="B34" s="9"/>
      <c r="L34" s="9"/>
      <c r="M34" s="5"/>
      <c r="O34" s="24" t="s">
        <v>182</v>
      </c>
      <c r="P34" s="33">
        <v>45803</v>
      </c>
      <c r="S34" s="5"/>
    </row>
    <row r="35" spans="2:19" ht="15.75" thickBot="1" x14ac:dyDescent="0.3">
      <c r="B35" s="9"/>
      <c r="L35" s="15" t="s">
        <v>235</v>
      </c>
      <c r="M35" s="46" t="s">
        <v>236</v>
      </c>
      <c r="O35" s="24" t="s">
        <v>183</v>
      </c>
      <c r="P35" s="33">
        <v>140518</v>
      </c>
      <c r="S35" s="5"/>
    </row>
    <row r="36" spans="2:19" x14ac:dyDescent="0.25">
      <c r="B36" s="9"/>
      <c r="L36" s="29" t="s">
        <v>159</v>
      </c>
      <c r="M36" s="13">
        <v>3</v>
      </c>
      <c r="O36" s="24" t="s">
        <v>184</v>
      </c>
      <c r="P36" s="33">
        <v>15431</v>
      </c>
      <c r="S36" s="5"/>
    </row>
    <row r="37" spans="2:19" x14ac:dyDescent="0.25">
      <c r="B37" s="9"/>
      <c r="L37" s="24" t="s">
        <v>143</v>
      </c>
      <c r="M37" s="33">
        <v>6</v>
      </c>
      <c r="O37" s="24" t="s">
        <v>185</v>
      </c>
      <c r="P37" s="33">
        <v>87783</v>
      </c>
      <c r="S37" s="5"/>
    </row>
    <row r="38" spans="2:19" x14ac:dyDescent="0.25">
      <c r="B38" s="9"/>
      <c r="L38" s="24" t="s">
        <v>148</v>
      </c>
      <c r="M38" s="33">
        <v>1</v>
      </c>
      <c r="O38" s="24" t="s">
        <v>186</v>
      </c>
      <c r="P38" s="33">
        <v>150393</v>
      </c>
      <c r="S38" s="5"/>
    </row>
    <row r="39" spans="2:19" ht="15.75" thickBot="1" x14ac:dyDescent="0.3">
      <c r="B39" s="9"/>
      <c r="L39" s="23" t="s">
        <v>141</v>
      </c>
      <c r="M39" s="33">
        <v>3</v>
      </c>
      <c r="O39" s="23" t="s">
        <v>187</v>
      </c>
      <c r="P39" s="33">
        <v>80469</v>
      </c>
      <c r="S39" s="5"/>
    </row>
    <row r="40" spans="2:19" ht="15.75" thickBot="1" x14ac:dyDescent="0.3">
      <c r="B40" s="9"/>
      <c r="L40" s="16" t="s">
        <v>176</v>
      </c>
      <c r="M40" s="14">
        <v>13</v>
      </c>
      <c r="O40" s="16" t="s">
        <v>176</v>
      </c>
      <c r="P40" s="14">
        <v>785541</v>
      </c>
      <c r="S40" s="5"/>
    </row>
    <row r="41" spans="2:19" x14ac:dyDescent="0.25">
      <c r="B41" s="9"/>
      <c r="S41" s="5"/>
    </row>
    <row r="42" spans="2:19" ht="15.75" thickBot="1" x14ac:dyDescent="0.3">
      <c r="B42" s="10"/>
      <c r="C42" s="8"/>
      <c r="D42" s="8"/>
      <c r="E42" s="8"/>
      <c r="F42" s="8"/>
      <c r="G42" s="8"/>
      <c r="H42" s="8"/>
      <c r="I42" s="8"/>
      <c r="J42" s="8"/>
      <c r="K42" s="8"/>
      <c r="L42" s="8"/>
      <c r="M42" s="8"/>
      <c r="N42" s="8"/>
      <c r="O42" s="8"/>
      <c r="P42" s="8"/>
      <c r="Q42" s="8"/>
      <c r="R42" s="8"/>
      <c r="S42" s="7"/>
    </row>
  </sheetData>
  <mergeCells count="1">
    <mergeCell ref="C3:R4"/>
  </mergeCells>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Raw-Sales Analysis Data</vt:lpstr>
      <vt:lpstr>Pivot Sales Chart Analysis</vt:lpstr>
      <vt:lpstr>Raw-HR Attrition Data</vt:lpstr>
      <vt:lpstr>Pivot HR Analysis</vt:lpstr>
      <vt:lpstr>Raw-Inventory Data</vt:lpstr>
      <vt:lpstr>Pivot Inventory Analysis</vt:lpstr>
      <vt:lpstr>Pivot Expense Tracking</vt:lpstr>
      <vt:lpstr>Raw-Expense Tracking Data</vt:lpstr>
      <vt:lpstr>Pivot Customer Order</vt:lpstr>
      <vt:lpstr>Pivot Expense Tracking Report</vt:lpstr>
      <vt:lpstr>Raw-Customer Orders Data</vt:lpstr>
      <vt:lpstr>Customer Analysis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Sagar Bhoyar</cp:lastModifiedBy>
  <dcterms:created xsi:type="dcterms:W3CDTF">2025-08-04T18:34:22Z</dcterms:created>
  <dcterms:modified xsi:type="dcterms:W3CDTF">2026-03-08T11:57:42Z</dcterms:modified>
</cp:coreProperties>
</file>